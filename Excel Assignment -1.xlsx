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0875" activeTab="1"/>
  </bookViews>
  <sheets>
    <sheet name="Instructions" sheetId="1" r:id="rId1"/>
    <sheet name="Dataset" sheetId="2" r:id="rId2"/>
  </sheets>
  <definedNames>
    <definedName name="_xlnm._FilterDatabase" localSheetId="1" hidden="1">Dataset!$A$1:$G$35</definedName>
  </definedNames>
  <calcPr calcId="162913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M7" i="2" l="1"/>
  <c r="Z19" i="2" l="1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18" i="2"/>
  <c r="V7" i="2"/>
  <c r="V5" i="2"/>
  <c r="L32" i="2"/>
  <c r="L30" i="2"/>
  <c r="L31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29" i="2"/>
  <c r="G34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5" i="2"/>
  <c r="M18" i="2"/>
  <c r="M20" i="2"/>
  <c r="M9" i="2"/>
  <c r="M5" i="2"/>
</calcChain>
</file>

<file path=xl/sharedStrings.xml><?xml version="1.0" encoding="utf-8"?>
<sst xmlns="http://schemas.openxmlformats.org/spreadsheetml/2006/main" count="291" uniqueCount="132">
  <si>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</si>
  <si>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</si>
  <si>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</si>
  <si>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</si>
  <si>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</si>
  <si>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</si>
  <si>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</si>
  <si>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</si>
  <si>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</si>
  <si>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</si>
  <si>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</si>
  <si>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</si>
  <si>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</si>
  <si>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</si>
  <si>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</si>
  <si>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</si>
  <si>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</si>
  <si>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</si>
  <si>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</si>
  <si>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</si>
  <si>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</si>
  <si>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</si>
  <si>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</si>
  <si>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</si>
  <si>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</si>
  <si>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</si>
  <si>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</si>
  <si>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</si>
  <si>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</si>
  <si>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</si>
  <si>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</si>
  <si>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</si>
  <si>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</si>
  <si>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</si>
  <si>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</si>
  <si>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</si>
  <si>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</si>
  <si>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</si>
  <si>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</si>
  <si>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</si>
  <si>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</si>
  <si>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</si>
  <si>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</si>
  <si>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</si>
  <si>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</si>
  <si>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</si>
  <si>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</si>
  <si>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</si>
  <si>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</si>
  <si>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</si>
  <si>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</si>
  <si>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</si>
  <si>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</si>
  <si>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</si>
  <si>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</si>
  <si>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</si>
  <si>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</si>
  <si>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</si>
  <si>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</si>
  <si>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</si>
  <si>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</si>
  <si>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</si>
  <si>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</si>
  <si>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</si>
  <si>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</si>
  <si>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</si>
  <si>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</si>
  <si>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</si>
  <si>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</si>
  <si>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</si>
  <si>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</si>
  <si>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</si>
  <si>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</si>
  <si>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</si>
  <si>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</si>
  <si>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</si>
  <si>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</si>
  <si>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</si>
  <si>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</si>
  <si>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</si>
  <si>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</si>
  <si>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</si>
  <si>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</si>
  <si>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</si>
  <si>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</si>
  <si>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</si>
  <si>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</si>
  <si>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</si>
  <si>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</si>
  <si>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</si>
  <si>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</si>
  <si>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</si>
  <si>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</si>
  <si>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</si>
  <si>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</si>
  <si>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</si>
  <si>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</si>
  <si>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</si>
  <si>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</si>
  <si>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</si>
  <si>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</si>
  <si>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</si>
  <si>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</si>
  <si>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</si>
  <si>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</si>
  <si>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</si>
  <si>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</si>
  <si>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</si>
  <si>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</si>
  <si>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</si>
  <si>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 SUM,COUNT,AVERAGE</t>
  </si>
  <si>
    <t>* What is the total price of all products in the dataset?</t>
  </si>
  <si>
    <t>* How many products are there in the dataset?</t>
  </si>
  <si>
    <t>* Calculate the average price of the products.</t>
  </si>
  <si>
    <t>Answers</t>
  </si>
  <si>
    <t>Requirement</t>
  </si>
  <si>
    <t>2. MIN &amp; MAX</t>
  </si>
  <si>
    <t>* Determine the minimum price among all products.</t>
  </si>
  <si>
    <t>* Find the maximum price among all products.</t>
  </si>
  <si>
    <t>3. IF FUNCTION</t>
  </si>
  <si>
    <t>Price Range</t>
  </si>
  <si>
    <t>Price</t>
  </si>
  <si>
    <t xml:space="preserve">* total price for products in the 'Electronics' </t>
  </si>
  <si>
    <t>*count of products with a price less than $100 using the COUNTIF function</t>
  </si>
  <si>
    <t>LEFT</t>
  </si>
  <si>
    <t>RIGHT</t>
  </si>
  <si>
    <t>MID</t>
  </si>
  <si>
    <t>5. LEFT,RIGHT,MID</t>
  </si>
  <si>
    <t>4. SUM IF AND COUNT IF</t>
  </si>
  <si>
    <t>Month</t>
  </si>
  <si>
    <t>Country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</si>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</sst>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4"/>
      <color rgb="FFFF0000"/>
      <name val="Arial"/>
      <family val="2"/>
      <scheme val="minor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theme="1"/>
      <name val="Arial Black"/>
      <family val="2"/>
    </font>
    <font>
      <b/>
      <sz val="12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9C0006"/>
      <name val="Arial"/>
      <family val="2"/>
      <scheme val="minor"/>
    </font>
    <font>
      <b/>
      <sz val="11"/>
      <color theme="1"/>
      <name val="Arial Black"/>
      <family val="2"/>
    </font>
    <font>
      <b/>
      <sz val="12"/>
      <color rgb="FF006100"/>
      <name val="Arial"/>
      <family val="2"/>
      <scheme val="minor"/>
    </font>
    <font>
      <b/>
      <sz val="14"/>
      <color rgb="FFC0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theme="3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2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rgb="FF3F3F3F"/>
      </right>
      <top style="medium">
        <color indexed="64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medium">
        <color indexed="64"/>
      </top>
      <bottom style="double">
        <color rgb="FF3F3F3F"/>
      </bottom>
      <diagonal/>
    </border>
    <border>
      <left style="double">
        <color rgb="FF3F3F3F"/>
      </left>
      <right style="medium">
        <color indexed="64"/>
      </right>
      <top style="medium">
        <color indexed="64"/>
      </top>
      <bottom style="double">
        <color rgb="FF3F3F3F"/>
      </bottom>
      <diagonal/>
    </border>
    <border>
      <left style="medium">
        <color indexed="64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medium">
        <color indexed="64"/>
      </right>
      <top style="double">
        <color rgb="FF3F3F3F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rgb="FF3F3F3F"/>
      </right>
      <top style="medium">
        <color indexed="64"/>
      </top>
      <bottom style="double">
        <color indexed="64"/>
      </bottom>
      <diagonal/>
    </border>
    <border>
      <left style="double">
        <color rgb="FF3F3F3F"/>
      </left>
      <right/>
      <top style="medium">
        <color indexed="64"/>
      </top>
      <bottom style="double">
        <color rgb="FF3F3F3F"/>
      </bottom>
      <diagonal/>
    </border>
    <border>
      <left/>
      <right style="double">
        <color rgb="FF3F3F3F"/>
      </right>
      <top style="medium">
        <color indexed="64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double">
        <color rgb="FF3F3F3F"/>
      </bottom>
      <diagonal/>
    </border>
    <border>
      <left/>
      <right/>
      <top style="medium">
        <color indexed="64"/>
      </top>
      <bottom style="double">
        <color rgb="FF3F3F3F"/>
      </bottom>
      <diagonal/>
    </border>
    <border>
      <left/>
      <right style="medium">
        <color indexed="64"/>
      </right>
      <top style="medium">
        <color indexed="64"/>
      </top>
      <bottom style="double">
        <color rgb="FF3F3F3F"/>
      </bottom>
      <diagonal/>
    </border>
  </borders>
  <cellStyleXfs count="4">
    <xf numFmtId="0" fontId="0" fillId="0" borderId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1" applyNumberFormat="0" applyAlignment="0" applyProtection="0"/>
  </cellStyleXfs>
  <cellXfs count="7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12" fillId="0" borderId="0" xfId="0" applyFont="1"/>
    <xf numFmtId="0" fontId="10" fillId="0" borderId="0" xfId="0" applyFont="1" applyAlignment="1"/>
    <xf numFmtId="0" fontId="0" fillId="0" borderId="0" xfId="0" applyFont="1" applyBorder="1" applyAlignment="1"/>
    <xf numFmtId="0" fontId="14" fillId="0" borderId="0" xfId="0" applyFont="1" applyBorder="1" applyAlignment="1"/>
    <xf numFmtId="0" fontId="15" fillId="0" borderId="0" xfId="0" applyFont="1" applyBorder="1" applyAlignment="1"/>
    <xf numFmtId="0" fontId="0" fillId="0" borderId="9" xfId="0" applyFont="1" applyBorder="1" applyAlignment="1"/>
    <xf numFmtId="0" fontId="18" fillId="0" borderId="0" xfId="0" applyFont="1"/>
    <xf numFmtId="0" fontId="13" fillId="0" borderId="0" xfId="0" applyFont="1"/>
    <xf numFmtId="0" fontId="13" fillId="0" borderId="0" xfId="0" applyFont="1" applyFill="1"/>
    <xf numFmtId="0" fontId="20" fillId="5" borderId="0" xfId="2" applyFont="1"/>
    <xf numFmtId="0" fontId="10" fillId="11" borderId="6" xfId="0" applyFont="1" applyFill="1" applyBorder="1" applyAlignment="1"/>
    <xf numFmtId="0" fontId="10" fillId="7" borderId="6" xfId="0" applyFont="1" applyFill="1" applyBorder="1" applyAlignment="1"/>
    <xf numFmtId="0" fontId="19" fillId="11" borderId="16" xfId="0" applyFont="1" applyFill="1" applyBorder="1"/>
    <xf numFmtId="0" fontId="19" fillId="7" borderId="16" xfId="0" applyFont="1" applyFill="1" applyBorder="1"/>
    <xf numFmtId="0" fontId="0" fillId="0" borderId="17" xfId="0" applyFont="1" applyBorder="1" applyAlignment="1"/>
    <xf numFmtId="0" fontId="17" fillId="10" borderId="18" xfId="3" applyFont="1" applyFill="1" applyBorder="1" applyAlignment="1">
      <alignment horizontal="center" vertical="center"/>
    </xf>
    <xf numFmtId="0" fontId="22" fillId="4" borderId="9" xfId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6" fillId="0" borderId="5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1" fillId="0" borderId="0" xfId="0" applyFont="1" applyBorder="1" applyAlignment="1">
      <alignment horizontal="center" wrapText="1"/>
    </xf>
    <xf numFmtId="0" fontId="17" fillId="12" borderId="10" xfId="3" applyFont="1" applyFill="1" applyBorder="1" applyAlignment="1">
      <alignment horizontal="center" vertical="center"/>
    </xf>
    <xf numFmtId="0" fontId="17" fillId="12" borderId="11" xfId="3" applyFont="1" applyFill="1" applyBorder="1" applyAlignment="1">
      <alignment horizontal="center" vertical="center"/>
    </xf>
    <xf numFmtId="0" fontId="17" fillId="12" borderId="19" xfId="3" applyFont="1" applyFill="1" applyBorder="1" applyAlignment="1">
      <alignment horizontal="center" vertical="center"/>
    </xf>
    <xf numFmtId="0" fontId="17" fillId="12" borderId="12" xfId="3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4" fillId="0" borderId="6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21" fillId="9" borderId="10" xfId="3" applyFont="1" applyFill="1" applyBorder="1" applyAlignment="1">
      <alignment horizontal="center" vertical="center"/>
    </xf>
    <xf numFmtId="0" fontId="21" fillId="9" borderId="11" xfId="3" applyFont="1" applyFill="1" applyBorder="1" applyAlignment="1">
      <alignment horizontal="center" vertical="center"/>
    </xf>
    <xf numFmtId="0" fontId="21" fillId="9" borderId="12" xfId="3" applyFont="1" applyFill="1" applyBorder="1" applyAlignment="1">
      <alignment horizontal="center" vertical="center"/>
    </xf>
    <xf numFmtId="0" fontId="14" fillId="0" borderId="13" xfId="0" applyFont="1" applyBorder="1" applyAlignment="1">
      <alignment horizontal="left"/>
    </xf>
    <xf numFmtId="0" fontId="14" fillId="0" borderId="14" xfId="0" applyFont="1" applyBorder="1" applyAlignment="1">
      <alignment horizontal="left"/>
    </xf>
    <xf numFmtId="0" fontId="14" fillId="0" borderId="15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9" fillId="0" borderId="6" xfId="0" applyFont="1" applyFill="1" applyBorder="1"/>
    <xf numFmtId="0" fontId="22" fillId="4" borderId="8" xfId="1" applyFont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0" fontId="23" fillId="0" borderId="5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4" fillId="0" borderId="9" xfId="1" applyFont="1" applyFill="1" applyBorder="1" applyAlignment="1">
      <alignment horizontal="center" vertical="center"/>
    </xf>
    <xf numFmtId="0" fontId="24" fillId="0" borderId="8" xfId="1" applyFont="1" applyFill="1" applyBorder="1" applyAlignment="1">
      <alignment horizontal="center" vertical="center"/>
    </xf>
    <xf numFmtId="0" fontId="25" fillId="13" borderId="9" xfId="1" applyFont="1" applyFill="1" applyBorder="1" applyAlignment="1">
      <alignment horizontal="center" vertical="center"/>
    </xf>
    <xf numFmtId="0" fontId="25" fillId="13" borderId="8" xfId="1" applyFont="1" applyFill="1" applyBorder="1" applyAlignment="1">
      <alignment horizontal="center" vertical="center"/>
    </xf>
    <xf numFmtId="0" fontId="17" fillId="8" borderId="19" xfId="3" applyFont="1" applyFill="1" applyBorder="1" applyAlignment="1">
      <alignment horizontal="center" vertical="center"/>
    </xf>
    <xf numFmtId="0" fontId="17" fillId="8" borderId="22" xfId="3" applyFont="1" applyFill="1" applyBorder="1" applyAlignment="1">
      <alignment horizontal="center" vertical="center"/>
    </xf>
    <xf numFmtId="0" fontId="17" fillId="8" borderId="23" xfId="3" applyFont="1" applyFill="1" applyBorder="1" applyAlignment="1">
      <alignment horizontal="center" vertical="center"/>
    </xf>
    <xf numFmtId="0" fontId="17" fillId="8" borderId="21" xfId="3" applyFont="1" applyFill="1" applyBorder="1" applyAlignment="1">
      <alignment horizontal="center" vertical="center"/>
    </xf>
    <xf numFmtId="0" fontId="17" fillId="8" borderId="20" xfId="3" applyFont="1" applyFill="1" applyBorder="1" applyAlignment="1">
      <alignment horizontal="center" vertical="center"/>
    </xf>
  </cellXfs>
  <cellStyles count="4">
    <cellStyle name="Bad" xfId="2" builtinId="27"/>
    <cellStyle name="Check Cell" xfId="3" builtinId="23"/>
    <cellStyle name="Good" xfId="1" builtinId="26"/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scheme val="minor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double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double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double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</dxfs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R17:S51" totalsRowShown="0" headerRowDxfId="5" headerRowBorderDxfId="6" tableBorderDxfId="7" headerRowCellStyle="Good">
  <tableColumns count="2">
    <tableColumn id="1" name="Product ID" dataDxfId="14"/>
    <tableColumn id="2" name="Day" dataDxfId="13">
      <calculatedColumnFormula>LEFT(R18,2)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V17:W51" totalsRowShown="0" headerRowDxfId="8" headerRowBorderDxfId="11" tableBorderDxfId="12" headerRowCellStyle="Good">
  <tableColumns count="2">
    <tableColumn id="1" name="Product ID" dataDxfId="10"/>
    <tableColumn id="2" name="Country" dataDxfId="9">
      <calculatedColumnFormula>RIGHT(V18,2)</calculatedColumnFormula>
    </tableColumn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Y17:Z51" totalsRowShown="0" headerRowDxfId="0" headerRowBorderDxfId="1" tableBorderDxfId="2" headerRowCellStyle="Good">
  <autoFilter ref="Y17:Z51">
    <filterColumn colId="0" hiddenButton="1"/>
    <filterColumn colId="1" hiddenButton="1"/>
  </autoFilter>
  <tableColumns count="2">
    <tableColumn id="1" name="Product ID" dataDxfId="4"/>
    <tableColumn id="2" name="Month" dataDxfId="3">
      <calculatedColumnFormula>MID(Y18,4,3)</calculatedColumnFormula>
    </tableColumn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showGridLines="0" workbookViewId="0">
      <selection activeCell="C22" sqref="C22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8" t="s">
        <v>2</v>
      </c>
    </row>
    <row r="5" spans="1:3" ht="15.75" customHeight="1" x14ac:dyDescent="0.25">
      <c r="B5" s="2"/>
      <c r="C5" s="8" t="s">
        <v>3</v>
      </c>
    </row>
    <row r="6" spans="1:3" ht="15.75" customHeight="1" x14ac:dyDescent="0.25">
      <c r="B6" s="2"/>
      <c r="C6" s="8" t="s">
        <v>4</v>
      </c>
    </row>
    <row r="7" spans="1:3" ht="15.75" customHeight="1" x14ac:dyDescent="0.25">
      <c r="B7" s="4"/>
    </row>
    <row r="8" spans="1:3" ht="15.75" customHeight="1" x14ac:dyDescent="0.25">
      <c r="B8" s="14" t="s">
        <v>5</v>
      </c>
    </row>
    <row r="9" spans="1:3" ht="15.75" customHeight="1" x14ac:dyDescent="0.25">
      <c r="C9" s="8" t="s">
        <v>6</v>
      </c>
    </row>
    <row r="10" spans="1:3" ht="15.75" customHeight="1" x14ac:dyDescent="0.25">
      <c r="C10" s="8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8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8" t="s">
        <v>11</v>
      </c>
    </row>
    <row r="17" spans="2:3" ht="15.75" customHeight="1" x14ac:dyDescent="0.25">
      <c r="C17" s="8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8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>
      <selection activeCell="O28" sqref="O28"/>
    </sheetView>
  </sheetViews>
  <sheetFormatPr defaultColWidth="12.5703125" defaultRowHeight="15" customHeight="1" x14ac:dyDescent="0.2"/>
  <cols>
    <col min="1" max="1" width="15" customWidth="1"/>
    <col min="2" max="2" width="16.42578125" customWidth="1"/>
    <col min="3" max="3" width="13.85546875" customWidth="1"/>
    <col min="4" max="4" width="14.28515625" customWidth="1"/>
    <col min="5" max="5" width="14.5703125" customWidth="1"/>
    <col min="6" max="6" width="14" customWidth="1"/>
    <col min="7" max="7" width="17.42578125" customWidth="1"/>
    <col min="8" max="8" width="12.85546875" customWidth="1"/>
    <col min="11" max="11" width="14.5703125" customWidth="1"/>
    <col min="12" max="12" width="19.28515625" customWidth="1"/>
    <col min="17" max="17" width="10.7109375" customWidth="1"/>
    <col min="18" max="18" width="15.7109375" customWidth="1"/>
    <col min="19" max="19" width="13.85546875" customWidth="1"/>
    <col min="21" max="21" width="29.42578125" customWidth="1"/>
    <col min="22" max="22" width="14.7109375" customWidth="1"/>
    <col min="23" max="23" width="14.5703125" customWidth="1"/>
    <col min="25" max="25" width="14.7109375" customWidth="1"/>
  </cols>
  <sheetData>
    <row r="1" spans="1:26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120</v>
      </c>
      <c r="I1" s="10"/>
      <c r="J1" s="10"/>
      <c r="K1" s="10"/>
      <c r="L1" s="10"/>
      <c r="M1" s="10"/>
      <c r="N1" s="10"/>
    </row>
    <row r="2" spans="1:26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17" t="str">
        <f>IF(D2&gt;=500,"High Price","Standard price")</f>
        <v>High Price</v>
      </c>
      <c r="I2" s="37" t="s">
        <v>110</v>
      </c>
      <c r="J2" s="37"/>
      <c r="K2" s="37"/>
      <c r="L2" s="37"/>
      <c r="M2" s="37"/>
      <c r="N2" s="37"/>
      <c r="S2" s="37" t="s">
        <v>128</v>
      </c>
      <c r="T2" s="37"/>
      <c r="U2" s="37"/>
      <c r="V2" s="37"/>
      <c r="W2" s="37"/>
      <c r="X2" s="37"/>
    </row>
    <row r="3" spans="1:26" ht="15.75" customHeight="1" thickBo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16" t="str">
        <f>IF(D3&gt;=500,"High Price","Standard price")</f>
        <v>Standard price</v>
      </c>
      <c r="H3" s="10"/>
      <c r="I3" s="10"/>
      <c r="J3" s="10"/>
      <c r="K3" s="10"/>
      <c r="L3" s="10"/>
      <c r="M3" s="10"/>
      <c r="N3" s="10"/>
      <c r="O3" s="10"/>
    </row>
    <row r="4" spans="1:26" ht="15.75" customHeight="1" thickBo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15" t="str">
        <f t="shared" ref="G4:G35" si="0">IF(D4&gt;=500,"High Price","Standard price")</f>
        <v>Standard price</v>
      </c>
      <c r="H4" s="10"/>
      <c r="I4" s="68" t="s">
        <v>115</v>
      </c>
      <c r="J4" s="66"/>
      <c r="K4" s="66"/>
      <c r="L4" s="69"/>
      <c r="M4" s="65" t="s">
        <v>114</v>
      </c>
      <c r="N4" s="66"/>
      <c r="O4" s="67"/>
      <c r="R4" s="38" t="s">
        <v>115</v>
      </c>
      <c r="S4" s="39"/>
      <c r="T4" s="39"/>
      <c r="U4" s="40"/>
      <c r="V4" s="38" t="s">
        <v>114</v>
      </c>
      <c r="W4" s="39"/>
      <c r="X4" s="41"/>
    </row>
    <row r="5" spans="1:26" ht="15.75" customHeight="1" thickTop="1" x14ac:dyDescent="0.2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17" t="str">
        <f t="shared" si="0"/>
        <v>High Price</v>
      </c>
      <c r="H5" s="10"/>
      <c r="I5" s="42" t="s">
        <v>111</v>
      </c>
      <c r="J5" s="43"/>
      <c r="K5" s="43"/>
      <c r="L5" s="55"/>
      <c r="M5" s="44">
        <f>SUM(D2:D35)</f>
        <v>10100</v>
      </c>
      <c r="N5" s="45"/>
      <c r="O5" s="46"/>
      <c r="R5" s="42" t="s">
        <v>122</v>
      </c>
      <c r="S5" s="43"/>
      <c r="T5" s="43"/>
      <c r="U5" s="43"/>
      <c r="V5" s="44">
        <f>SUMIF(F2:F35,"electronics",D2:D35)</f>
        <v>8050</v>
      </c>
      <c r="W5" s="45"/>
      <c r="X5" s="46"/>
    </row>
    <row r="6" spans="1:26" ht="15.75" customHeight="1" x14ac:dyDescent="0.2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16" t="str">
        <f t="shared" si="0"/>
        <v>Standard price</v>
      </c>
      <c r="H6" s="10"/>
      <c r="I6" s="27"/>
      <c r="J6" s="28"/>
      <c r="K6" s="28"/>
      <c r="L6" s="47"/>
      <c r="M6" s="31"/>
      <c r="N6" s="32"/>
      <c r="O6" s="33"/>
      <c r="R6" s="27"/>
      <c r="S6" s="28"/>
      <c r="T6" s="28"/>
      <c r="U6" s="28"/>
      <c r="V6" s="31"/>
      <c r="W6" s="32"/>
      <c r="X6" s="33"/>
    </row>
    <row r="7" spans="1:26" ht="15.75" customHeight="1" x14ac:dyDescent="0.2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16" t="str">
        <f t="shared" si="0"/>
        <v>Standard price</v>
      </c>
      <c r="H7" s="10"/>
      <c r="I7" s="27" t="s">
        <v>112</v>
      </c>
      <c r="J7" s="28"/>
      <c r="K7" s="28"/>
      <c r="L7" s="47"/>
      <c r="M7" s="31">
        <f>COUNTA(A2:A35)</f>
        <v>34</v>
      </c>
      <c r="N7" s="32"/>
      <c r="O7" s="33"/>
      <c r="R7" s="27" t="s">
        <v>123</v>
      </c>
      <c r="S7" s="28"/>
      <c r="T7" s="28"/>
      <c r="U7" s="28"/>
      <c r="V7" s="31">
        <f>COUNTIF(D2:D35,"&lt;100")</f>
        <v>11</v>
      </c>
      <c r="W7" s="32"/>
      <c r="X7" s="33"/>
    </row>
    <row r="8" spans="1:26" ht="15.75" customHeight="1" thickBo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16" t="str">
        <f t="shared" si="0"/>
        <v>Standard price</v>
      </c>
      <c r="H8" s="10"/>
      <c r="I8" s="27"/>
      <c r="J8" s="28"/>
      <c r="K8" s="28"/>
      <c r="L8" s="47"/>
      <c r="M8" s="31"/>
      <c r="N8" s="32"/>
      <c r="O8" s="33"/>
      <c r="R8" s="29"/>
      <c r="S8" s="30"/>
      <c r="T8" s="30"/>
      <c r="U8" s="30"/>
      <c r="V8" s="34"/>
      <c r="W8" s="35"/>
      <c r="X8" s="36"/>
    </row>
    <row r="9" spans="1:26" ht="15.75" customHeight="1" x14ac:dyDescent="0.2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16" t="str">
        <f t="shared" si="0"/>
        <v>Standard price</v>
      </c>
      <c r="H9" s="10"/>
      <c r="I9" s="27" t="s">
        <v>113</v>
      </c>
      <c r="J9" s="28"/>
      <c r="K9" s="28"/>
      <c r="L9" s="47"/>
      <c r="M9" s="31">
        <f>AVERAGE(D2:D35)</f>
        <v>297.05882352941177</v>
      </c>
      <c r="N9" s="32"/>
      <c r="O9" s="33"/>
      <c r="R9" s="10"/>
      <c r="S9" s="10"/>
      <c r="T9" s="10"/>
      <c r="U9" s="10"/>
      <c r="V9" s="10"/>
      <c r="W9" s="10"/>
      <c r="X9" s="10"/>
    </row>
    <row r="10" spans="1:26" ht="15.75" customHeight="1" thickBo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17" t="str">
        <f t="shared" si="0"/>
        <v>High Price</v>
      </c>
      <c r="H10" s="10"/>
      <c r="I10" s="29"/>
      <c r="J10" s="30"/>
      <c r="K10" s="30"/>
      <c r="L10" s="48"/>
      <c r="M10" s="34"/>
      <c r="N10" s="35"/>
      <c r="O10" s="36"/>
      <c r="R10" s="10"/>
      <c r="S10" s="10"/>
      <c r="T10" s="10"/>
      <c r="U10" s="10"/>
      <c r="V10" s="10"/>
      <c r="W10" s="10"/>
      <c r="X10" s="10"/>
    </row>
    <row r="11" spans="1:26" ht="15.75" customHeight="1" x14ac:dyDescent="0.2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16" t="str">
        <f t="shared" si="0"/>
        <v>Standard price</v>
      </c>
      <c r="H11" s="10"/>
      <c r="I11" s="10"/>
      <c r="J11" s="10"/>
      <c r="K11" s="10"/>
      <c r="L11" s="10"/>
      <c r="M11" s="10"/>
      <c r="N11" s="10"/>
      <c r="O11" s="10"/>
      <c r="R11" s="10"/>
      <c r="S11" s="10"/>
      <c r="T11" s="10"/>
      <c r="U11" s="10"/>
      <c r="V11" s="10"/>
      <c r="W11" s="10"/>
      <c r="X11" s="10"/>
    </row>
    <row r="12" spans="1:26" ht="15.75" customHeight="1" x14ac:dyDescent="0.2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17" t="str">
        <f t="shared" si="0"/>
        <v>High Price</v>
      </c>
      <c r="I12" s="10"/>
      <c r="J12" s="10"/>
      <c r="K12" s="10"/>
      <c r="L12" s="10"/>
      <c r="M12" s="10"/>
      <c r="N12" s="10"/>
      <c r="O12" s="10"/>
    </row>
    <row r="13" spans="1:26" ht="23.2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16" t="str">
        <f t="shared" si="0"/>
        <v>Standard price</v>
      </c>
      <c r="I13" s="10"/>
      <c r="J13" s="10"/>
      <c r="K13" s="10"/>
      <c r="L13" s="10"/>
      <c r="M13" s="10"/>
      <c r="N13" s="10"/>
      <c r="O13" s="10"/>
      <c r="S13" s="37" t="s">
        <v>127</v>
      </c>
      <c r="T13" s="37"/>
      <c r="U13" s="37"/>
      <c r="V13" s="37"/>
      <c r="W13" s="37"/>
    </row>
    <row r="14" spans="1:26" ht="15.75" customHeight="1" thickBo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16" t="str">
        <f t="shared" si="0"/>
        <v>Standard price</v>
      </c>
      <c r="I14" s="10"/>
      <c r="J14" s="10"/>
      <c r="K14" s="10"/>
      <c r="L14" s="10"/>
      <c r="M14" s="10"/>
      <c r="N14" s="10"/>
      <c r="O14" s="10"/>
    </row>
    <row r="15" spans="1:26" ht="20.2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16" t="str">
        <f t="shared" si="0"/>
        <v>Standard price</v>
      </c>
      <c r="I15" s="37" t="s">
        <v>116</v>
      </c>
      <c r="J15" s="37"/>
      <c r="K15" s="37"/>
      <c r="L15" s="37"/>
      <c r="M15" s="37"/>
      <c r="N15" s="37"/>
      <c r="O15" s="10"/>
      <c r="R15" s="25" t="s">
        <v>124</v>
      </c>
      <c r="S15" s="26"/>
      <c r="V15" s="25" t="s">
        <v>125</v>
      </c>
      <c r="W15" s="26"/>
      <c r="Y15" s="25" t="s">
        <v>126</v>
      </c>
      <c r="Z15" s="26"/>
    </row>
    <row r="16" spans="1:26" ht="15.75" customHeight="1" thickBo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16" t="str">
        <f t="shared" si="0"/>
        <v>Standard price</v>
      </c>
      <c r="R16" s="59"/>
      <c r="S16" s="60"/>
      <c r="T16" s="9"/>
      <c r="V16" s="59"/>
      <c r="W16" s="60"/>
      <c r="Y16" s="59"/>
      <c r="Z16" s="60"/>
    </row>
    <row r="17" spans="1:26" ht="15.75" customHeight="1" thickBo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16" t="str">
        <f t="shared" si="0"/>
        <v>Standard price</v>
      </c>
      <c r="I17" s="49" t="s">
        <v>115</v>
      </c>
      <c r="J17" s="50"/>
      <c r="K17" s="50"/>
      <c r="L17" s="50"/>
      <c r="M17" s="50" t="s">
        <v>114</v>
      </c>
      <c r="N17" s="50"/>
      <c r="O17" s="51"/>
      <c r="R17" s="61" t="s">
        <v>17</v>
      </c>
      <c r="S17" s="62" t="s">
        <v>131</v>
      </c>
      <c r="V17" s="24" t="s">
        <v>17</v>
      </c>
      <c r="W17" s="57" t="s">
        <v>130</v>
      </c>
      <c r="Y17" s="63" t="s">
        <v>17</v>
      </c>
      <c r="Z17" s="64" t="s">
        <v>129</v>
      </c>
    </row>
    <row r="18" spans="1:26" ht="15.75" customHeight="1" thickTop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16" t="str">
        <f t="shared" si="0"/>
        <v>Standard price</v>
      </c>
      <c r="I18" s="52" t="s">
        <v>117</v>
      </c>
      <c r="J18" s="53"/>
      <c r="K18" s="53"/>
      <c r="L18" s="54"/>
      <c r="M18" s="32">
        <f>MIN(D2:D35)</f>
        <v>30</v>
      </c>
      <c r="N18" s="32"/>
      <c r="O18" s="33"/>
      <c r="R18" s="56" t="s">
        <v>23</v>
      </c>
      <c r="S18" s="58" t="str">
        <f>LEFT(R18,2)</f>
        <v>28</v>
      </c>
      <c r="V18" s="56" t="s">
        <v>23</v>
      </c>
      <c r="W18" s="58" t="str">
        <f>RIGHT(V18,2)</f>
        <v>US</v>
      </c>
      <c r="Y18" s="56" t="s">
        <v>23</v>
      </c>
      <c r="Z18" s="58" t="str">
        <f>MID(Y18,4,3)</f>
        <v>JAN</v>
      </c>
    </row>
    <row r="19" spans="1:26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17" t="str">
        <f t="shared" si="0"/>
        <v>High Price</v>
      </c>
      <c r="I19" s="27"/>
      <c r="J19" s="28"/>
      <c r="K19" s="28"/>
      <c r="L19" s="47"/>
      <c r="M19" s="32"/>
      <c r="N19" s="32"/>
      <c r="O19" s="33"/>
      <c r="R19" s="56" t="s">
        <v>27</v>
      </c>
      <c r="S19" s="58" t="str">
        <f t="shared" ref="S19:S51" si="1">LEFT(R19,2)</f>
        <v>15</v>
      </c>
      <c r="V19" s="56" t="s">
        <v>27</v>
      </c>
      <c r="W19" s="58" t="str">
        <f t="shared" ref="W19:W51" si="2">RIGHT(V19,2)</f>
        <v>US</v>
      </c>
      <c r="Y19" s="56" t="s">
        <v>27</v>
      </c>
      <c r="Z19" s="58" t="str">
        <f t="shared" ref="Z19:Z51" si="3">MID(Y19,4,3)</f>
        <v>FEB</v>
      </c>
    </row>
    <row r="20" spans="1:26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16" t="str">
        <f t="shared" si="0"/>
        <v>Standard price</v>
      </c>
      <c r="I20" s="27" t="s">
        <v>118</v>
      </c>
      <c r="J20" s="28"/>
      <c r="K20" s="28"/>
      <c r="L20" s="47"/>
      <c r="M20" s="32">
        <f>MAX(D2:D35)</f>
        <v>1000</v>
      </c>
      <c r="N20" s="32"/>
      <c r="O20" s="33"/>
      <c r="R20" s="56" t="s">
        <v>31</v>
      </c>
      <c r="S20" s="58" t="str">
        <f t="shared" si="1"/>
        <v>03</v>
      </c>
      <c r="V20" s="56" t="s">
        <v>31</v>
      </c>
      <c r="W20" s="58" t="str">
        <f t="shared" si="2"/>
        <v>US</v>
      </c>
      <c r="Y20" s="56" t="s">
        <v>31</v>
      </c>
      <c r="Z20" s="58" t="str">
        <f t="shared" si="3"/>
        <v>MAR</v>
      </c>
    </row>
    <row r="21" spans="1:26" ht="15.75" customHeight="1" thickBot="1" x14ac:dyDescent="0.3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16" t="str">
        <f t="shared" si="0"/>
        <v>Standard price</v>
      </c>
      <c r="I21" s="29"/>
      <c r="J21" s="30"/>
      <c r="K21" s="30"/>
      <c r="L21" s="48"/>
      <c r="M21" s="35"/>
      <c r="N21" s="35"/>
      <c r="O21" s="36"/>
      <c r="R21" s="56" t="s">
        <v>35</v>
      </c>
      <c r="S21" s="58" t="str">
        <f t="shared" si="1"/>
        <v>11</v>
      </c>
      <c r="V21" s="56" t="s">
        <v>35</v>
      </c>
      <c r="W21" s="58" t="str">
        <f t="shared" si="2"/>
        <v>US</v>
      </c>
      <c r="Y21" s="56" t="s">
        <v>35</v>
      </c>
      <c r="Z21" s="58" t="str">
        <f t="shared" si="3"/>
        <v>APR</v>
      </c>
    </row>
    <row r="22" spans="1:26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17" t="str">
        <f t="shared" si="0"/>
        <v>High Price</v>
      </c>
      <c r="I22" s="10"/>
      <c r="J22" s="12"/>
      <c r="K22" s="12"/>
      <c r="L22" s="12"/>
      <c r="M22" s="10"/>
      <c r="N22" s="10"/>
      <c r="O22" s="10"/>
      <c r="R22" s="56" t="s">
        <v>38</v>
      </c>
      <c r="S22" s="58" t="str">
        <f t="shared" si="1"/>
        <v>22</v>
      </c>
      <c r="V22" s="56" t="s">
        <v>38</v>
      </c>
      <c r="W22" s="58" t="str">
        <f t="shared" si="2"/>
        <v>US</v>
      </c>
      <c r="Y22" s="56" t="s">
        <v>38</v>
      </c>
      <c r="Z22" s="58" t="str">
        <f t="shared" si="3"/>
        <v>MAY</v>
      </c>
    </row>
    <row r="23" spans="1:26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16" t="str">
        <f t="shared" si="0"/>
        <v>Standard price</v>
      </c>
      <c r="R23" s="56" t="s">
        <v>42</v>
      </c>
      <c r="S23" s="58" t="str">
        <f t="shared" si="1"/>
        <v>07</v>
      </c>
      <c r="V23" s="56" t="s">
        <v>42</v>
      </c>
      <c r="W23" s="58" t="str">
        <f t="shared" si="2"/>
        <v>UK</v>
      </c>
      <c r="Y23" s="56" t="s">
        <v>42</v>
      </c>
      <c r="Z23" s="58" t="str">
        <f t="shared" si="3"/>
        <v>JUN</v>
      </c>
    </row>
    <row r="24" spans="1:26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16" t="str">
        <f t="shared" si="0"/>
        <v>Standard price</v>
      </c>
      <c r="R24" s="56" t="s">
        <v>45</v>
      </c>
      <c r="S24" s="58" t="str">
        <f t="shared" si="1"/>
        <v>19</v>
      </c>
      <c r="V24" s="56" t="s">
        <v>45</v>
      </c>
      <c r="W24" s="58" t="str">
        <f t="shared" si="2"/>
        <v>UK</v>
      </c>
      <c r="Y24" s="56" t="s">
        <v>45</v>
      </c>
      <c r="Z24" s="58" t="str">
        <f t="shared" si="3"/>
        <v>JUL</v>
      </c>
    </row>
    <row r="25" spans="1:26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16" t="str">
        <f t="shared" si="0"/>
        <v>Standard price</v>
      </c>
      <c r="I25" s="37" t="s">
        <v>119</v>
      </c>
      <c r="J25" s="37"/>
      <c r="K25" s="37"/>
      <c r="L25" s="37"/>
      <c r="M25" s="37"/>
      <c r="N25" s="37"/>
      <c r="R25" s="56" t="s">
        <v>48</v>
      </c>
      <c r="S25" s="58" t="str">
        <f t="shared" si="1"/>
        <v>23</v>
      </c>
      <c r="V25" s="56" t="s">
        <v>48</v>
      </c>
      <c r="W25" s="58" t="str">
        <f t="shared" si="2"/>
        <v>UK</v>
      </c>
      <c r="Y25" s="56" t="s">
        <v>48</v>
      </c>
      <c r="Z25" s="58" t="str">
        <f t="shared" si="3"/>
        <v>AUG</v>
      </c>
    </row>
    <row r="26" spans="1:26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17" t="str">
        <f t="shared" si="0"/>
        <v>High Price</v>
      </c>
      <c r="R26" s="56" t="s">
        <v>51</v>
      </c>
      <c r="S26" s="58" t="str">
        <f t="shared" si="1"/>
        <v>05</v>
      </c>
      <c r="V26" s="56" t="s">
        <v>51</v>
      </c>
      <c r="W26" s="58" t="str">
        <f t="shared" si="2"/>
        <v>UK</v>
      </c>
      <c r="Y26" s="56" t="s">
        <v>51</v>
      </c>
      <c r="Z26" s="58" t="str">
        <f t="shared" si="3"/>
        <v>SEP</v>
      </c>
    </row>
    <row r="27" spans="1:26" ht="15.75" customHeight="1" thickBot="1" x14ac:dyDescent="0.3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16" t="str">
        <f t="shared" si="0"/>
        <v>Standard price</v>
      </c>
      <c r="I27" s="11"/>
      <c r="J27" s="11"/>
      <c r="L27" s="11"/>
      <c r="M27" s="28"/>
      <c r="N27" s="28"/>
      <c r="O27" s="28"/>
      <c r="R27" s="56" t="s">
        <v>54</v>
      </c>
      <c r="S27" s="58" t="str">
        <f t="shared" si="1"/>
        <v>14</v>
      </c>
      <c r="V27" s="56" t="s">
        <v>54</v>
      </c>
      <c r="W27" s="58" t="str">
        <f t="shared" si="2"/>
        <v>UK</v>
      </c>
      <c r="Y27" s="56" t="s">
        <v>54</v>
      </c>
      <c r="Z27" s="58" t="str">
        <f t="shared" si="3"/>
        <v>OCT</v>
      </c>
    </row>
    <row r="28" spans="1:26" ht="15.75" customHeight="1" thickBot="1" x14ac:dyDescent="0.3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16" t="str">
        <f t="shared" si="0"/>
        <v>Standard price</v>
      </c>
      <c r="K28" s="23" t="s">
        <v>121</v>
      </c>
      <c r="L28" s="23" t="s">
        <v>120</v>
      </c>
      <c r="R28" s="56" t="s">
        <v>57</v>
      </c>
      <c r="S28" s="58" t="str">
        <f t="shared" si="1"/>
        <v>17</v>
      </c>
      <c r="V28" s="56" t="s">
        <v>57</v>
      </c>
      <c r="W28" s="58" t="str">
        <f t="shared" si="2"/>
        <v>IN</v>
      </c>
      <c r="Y28" s="56" t="s">
        <v>57</v>
      </c>
      <c r="Z28" s="58" t="str">
        <f t="shared" si="3"/>
        <v>JUN</v>
      </c>
    </row>
    <row r="29" spans="1:26" ht="15.75" customHeight="1" thickTop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16" t="str">
        <f t="shared" si="0"/>
        <v>Standard price</v>
      </c>
      <c r="K29" s="20">
        <v>1000</v>
      </c>
      <c r="L29" s="18" t="str">
        <f>IF(K29&gt;=500,"High Price","Standard price")</f>
        <v>High Price</v>
      </c>
      <c r="R29" s="56" t="s">
        <v>59</v>
      </c>
      <c r="S29" s="58" t="str">
        <f t="shared" si="1"/>
        <v>25</v>
      </c>
      <c r="V29" s="56" t="s">
        <v>59</v>
      </c>
      <c r="W29" s="58" t="str">
        <f t="shared" si="2"/>
        <v>AU</v>
      </c>
      <c r="Y29" s="56" t="s">
        <v>59</v>
      </c>
      <c r="Z29" s="58" t="str">
        <f t="shared" si="3"/>
        <v>NOV</v>
      </c>
    </row>
    <row r="30" spans="1:26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16" t="str">
        <f t="shared" si="0"/>
        <v>Standard price</v>
      </c>
      <c r="K30" s="21">
        <v>80</v>
      </c>
      <c r="L30" s="19" t="str">
        <f t="shared" ref="L30:L62" si="4">IF(K30&gt;=500,"High Price","Standard price")</f>
        <v>Standard price</v>
      </c>
      <c r="R30" s="56" t="s">
        <v>60</v>
      </c>
      <c r="S30" s="58" t="str">
        <f t="shared" si="1"/>
        <v>08</v>
      </c>
      <c r="V30" s="56" t="s">
        <v>60</v>
      </c>
      <c r="W30" s="58" t="str">
        <f t="shared" si="2"/>
        <v>DE</v>
      </c>
      <c r="Y30" s="56" t="s">
        <v>60</v>
      </c>
      <c r="Z30" s="58" t="str">
        <f t="shared" si="3"/>
        <v>DEC</v>
      </c>
    </row>
    <row r="31" spans="1:26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16" t="str">
        <f t="shared" si="0"/>
        <v>Standard price</v>
      </c>
      <c r="K31" s="21">
        <v>130</v>
      </c>
      <c r="L31" s="19" t="str">
        <f t="shared" si="4"/>
        <v>Standard price</v>
      </c>
      <c r="R31" s="56" t="s">
        <v>62</v>
      </c>
      <c r="S31" s="58" t="str">
        <f t="shared" si="1"/>
        <v>18</v>
      </c>
      <c r="V31" s="56" t="s">
        <v>62</v>
      </c>
      <c r="W31" s="58" t="str">
        <f t="shared" si="2"/>
        <v>CA</v>
      </c>
      <c r="Y31" s="56" t="s">
        <v>62</v>
      </c>
      <c r="Z31" s="58" t="str">
        <f t="shared" si="3"/>
        <v>FEB</v>
      </c>
    </row>
    <row r="32" spans="1:26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16" t="str">
        <f t="shared" si="0"/>
        <v>Standard price</v>
      </c>
      <c r="K32" s="20">
        <v>900</v>
      </c>
      <c r="L32" s="18" t="str">
        <f>IF(K32&gt;=500,"High Price","Standard price")</f>
        <v>High Price</v>
      </c>
      <c r="R32" s="56" t="s">
        <v>65</v>
      </c>
      <c r="S32" s="58" t="str">
        <f t="shared" si="1"/>
        <v>16</v>
      </c>
      <c r="V32" s="56" t="s">
        <v>65</v>
      </c>
      <c r="W32" s="58" t="str">
        <f t="shared" si="2"/>
        <v>ES</v>
      </c>
      <c r="Y32" s="56" t="s">
        <v>65</v>
      </c>
      <c r="Z32" s="58" t="str">
        <f t="shared" si="3"/>
        <v>APR</v>
      </c>
    </row>
    <row r="33" spans="1:26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16" t="str">
        <f t="shared" si="0"/>
        <v>Standard price</v>
      </c>
      <c r="K33" s="21">
        <v>70</v>
      </c>
      <c r="L33" s="19" t="str">
        <f t="shared" si="4"/>
        <v>Standard price</v>
      </c>
      <c r="R33" s="56" t="s">
        <v>67</v>
      </c>
      <c r="S33" s="58" t="str">
        <f t="shared" si="1"/>
        <v>21</v>
      </c>
      <c r="V33" s="56" t="s">
        <v>67</v>
      </c>
      <c r="W33" s="58" t="str">
        <f t="shared" si="2"/>
        <v>CA</v>
      </c>
      <c r="Y33" s="56" t="s">
        <v>67</v>
      </c>
      <c r="Z33" s="58" t="str">
        <f t="shared" si="3"/>
        <v>AUG</v>
      </c>
    </row>
    <row r="34" spans="1:26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17" t="str">
        <f>IF(D34&gt;=500,"High Price","Standard price")</f>
        <v>High Price</v>
      </c>
      <c r="K34" s="21">
        <v>200</v>
      </c>
      <c r="L34" s="19" t="str">
        <f t="shared" si="4"/>
        <v>Standard price</v>
      </c>
      <c r="R34" s="56" t="s">
        <v>71</v>
      </c>
      <c r="S34" s="58" t="str">
        <f t="shared" si="1"/>
        <v>20</v>
      </c>
      <c r="V34" s="56" t="s">
        <v>71</v>
      </c>
      <c r="W34" s="58" t="str">
        <f t="shared" si="2"/>
        <v>CN</v>
      </c>
      <c r="Y34" s="56" t="s">
        <v>71</v>
      </c>
      <c r="Z34" s="58" t="str">
        <f t="shared" si="3"/>
        <v>AUG</v>
      </c>
    </row>
    <row r="35" spans="1:26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16" t="str">
        <f t="shared" si="0"/>
        <v>Standard price</v>
      </c>
      <c r="K35" s="21">
        <v>30</v>
      </c>
      <c r="L35" s="19" t="str">
        <f t="shared" si="4"/>
        <v>Standard price</v>
      </c>
      <c r="R35" s="56" t="s">
        <v>73</v>
      </c>
      <c r="S35" s="58" t="str">
        <f t="shared" si="1"/>
        <v>27</v>
      </c>
      <c r="V35" s="56" t="s">
        <v>73</v>
      </c>
      <c r="W35" s="58" t="str">
        <f t="shared" si="2"/>
        <v>IT</v>
      </c>
      <c r="Y35" s="56" t="s">
        <v>73</v>
      </c>
      <c r="Z35" s="58" t="str">
        <f t="shared" si="3"/>
        <v>JAN</v>
      </c>
    </row>
    <row r="36" spans="1:26" ht="15.75" customHeight="1" x14ac:dyDescent="0.25">
      <c r="K36" s="21">
        <v>90</v>
      </c>
      <c r="L36" s="19" t="str">
        <f t="shared" si="4"/>
        <v>Standard price</v>
      </c>
      <c r="R36" s="56" t="s">
        <v>75</v>
      </c>
      <c r="S36" s="58" t="str">
        <f t="shared" si="1"/>
        <v>01</v>
      </c>
      <c r="V36" s="56" t="s">
        <v>75</v>
      </c>
      <c r="W36" s="58" t="str">
        <f t="shared" si="2"/>
        <v>UK</v>
      </c>
      <c r="Y36" s="56" t="s">
        <v>75</v>
      </c>
      <c r="Z36" s="58" t="str">
        <f t="shared" si="3"/>
        <v>MAR</v>
      </c>
    </row>
    <row r="37" spans="1:26" ht="15.75" customHeight="1" x14ac:dyDescent="0.25">
      <c r="K37" s="20">
        <v>500</v>
      </c>
      <c r="L37" s="18" t="str">
        <f t="shared" si="4"/>
        <v>High Price</v>
      </c>
      <c r="R37" s="56" t="s">
        <v>78</v>
      </c>
      <c r="S37" s="58" t="str">
        <f t="shared" si="1"/>
        <v>14</v>
      </c>
      <c r="V37" s="56" t="s">
        <v>78</v>
      </c>
      <c r="W37" s="58" t="str">
        <f t="shared" si="2"/>
        <v>US</v>
      </c>
      <c r="Y37" s="56" t="s">
        <v>78</v>
      </c>
      <c r="Z37" s="58" t="str">
        <f t="shared" si="3"/>
        <v>AUG</v>
      </c>
    </row>
    <row r="38" spans="1:26" ht="15.75" customHeight="1" x14ac:dyDescent="0.25">
      <c r="K38" s="21">
        <v>130</v>
      </c>
      <c r="L38" s="19" t="str">
        <f t="shared" si="4"/>
        <v>Standard price</v>
      </c>
      <c r="R38" s="56" t="s">
        <v>81</v>
      </c>
      <c r="S38" s="58" t="str">
        <f t="shared" si="1"/>
        <v>14</v>
      </c>
      <c r="V38" s="56" t="s">
        <v>81</v>
      </c>
      <c r="W38" s="58" t="str">
        <f t="shared" si="2"/>
        <v>RU</v>
      </c>
      <c r="Y38" s="56" t="s">
        <v>81</v>
      </c>
      <c r="Z38" s="58" t="str">
        <f t="shared" si="3"/>
        <v>MAY</v>
      </c>
    </row>
    <row r="39" spans="1:26" ht="15.75" customHeight="1" x14ac:dyDescent="0.25">
      <c r="K39" s="20">
        <v>950</v>
      </c>
      <c r="L39" s="18" t="str">
        <f t="shared" si="4"/>
        <v>High Price</v>
      </c>
      <c r="R39" s="56" t="s">
        <v>84</v>
      </c>
      <c r="S39" s="58" t="str">
        <f t="shared" si="1"/>
        <v>09</v>
      </c>
      <c r="V39" s="56" t="s">
        <v>84</v>
      </c>
      <c r="W39" s="58" t="str">
        <f t="shared" si="2"/>
        <v>CA</v>
      </c>
      <c r="Y39" s="56" t="s">
        <v>84</v>
      </c>
      <c r="Z39" s="58" t="str">
        <f t="shared" si="3"/>
        <v>JAN</v>
      </c>
    </row>
    <row r="40" spans="1:26" ht="15.75" customHeight="1" x14ac:dyDescent="0.25">
      <c r="K40" s="21">
        <v>90</v>
      </c>
      <c r="L40" s="19" t="str">
        <f t="shared" si="4"/>
        <v>Standard price</v>
      </c>
      <c r="R40" s="56" t="s">
        <v>87</v>
      </c>
      <c r="S40" s="58" t="str">
        <f t="shared" si="1"/>
        <v>19</v>
      </c>
      <c r="V40" s="56" t="s">
        <v>87</v>
      </c>
      <c r="W40" s="58" t="str">
        <f t="shared" si="2"/>
        <v>BR</v>
      </c>
      <c r="Y40" s="56" t="s">
        <v>87</v>
      </c>
      <c r="Z40" s="58" t="str">
        <f t="shared" si="3"/>
        <v>JUL</v>
      </c>
    </row>
    <row r="41" spans="1:26" ht="15.75" customHeight="1" x14ac:dyDescent="0.25">
      <c r="K41" s="21">
        <v>120</v>
      </c>
      <c r="L41" s="19" t="str">
        <f t="shared" si="4"/>
        <v>Standard price</v>
      </c>
      <c r="R41" s="56" t="s">
        <v>67</v>
      </c>
      <c r="S41" s="58" t="str">
        <f t="shared" si="1"/>
        <v>21</v>
      </c>
      <c r="V41" s="56" t="s">
        <v>67</v>
      </c>
      <c r="W41" s="58" t="str">
        <f t="shared" si="2"/>
        <v>CA</v>
      </c>
      <c r="Y41" s="56" t="s">
        <v>67</v>
      </c>
      <c r="Z41" s="58" t="str">
        <f t="shared" si="3"/>
        <v>AUG</v>
      </c>
    </row>
    <row r="42" spans="1:26" ht="15.75" customHeight="1" x14ac:dyDescent="0.25">
      <c r="K42" s="21">
        <v>150</v>
      </c>
      <c r="L42" s="19" t="str">
        <f t="shared" si="4"/>
        <v>Standard price</v>
      </c>
      <c r="R42" s="56" t="s">
        <v>90</v>
      </c>
      <c r="S42" s="58" t="str">
        <f t="shared" si="1"/>
        <v>29</v>
      </c>
      <c r="V42" s="56" t="s">
        <v>90</v>
      </c>
      <c r="W42" s="58" t="str">
        <f t="shared" si="2"/>
        <v>CA</v>
      </c>
      <c r="Y42" s="56" t="s">
        <v>90</v>
      </c>
      <c r="Z42" s="58" t="str">
        <f t="shared" si="3"/>
        <v>SEP</v>
      </c>
    </row>
    <row r="43" spans="1:26" ht="15.75" customHeight="1" x14ac:dyDescent="0.25">
      <c r="K43" s="21">
        <v>250</v>
      </c>
      <c r="L43" s="19" t="str">
        <f t="shared" si="4"/>
        <v>Standard price</v>
      </c>
      <c r="R43" s="56" t="s">
        <v>92</v>
      </c>
      <c r="S43" s="58" t="str">
        <f t="shared" si="1"/>
        <v>03</v>
      </c>
      <c r="V43" s="56" t="s">
        <v>92</v>
      </c>
      <c r="W43" s="58" t="str">
        <f t="shared" si="2"/>
        <v>CA</v>
      </c>
      <c r="Y43" s="56" t="s">
        <v>92</v>
      </c>
      <c r="Z43" s="58" t="str">
        <f t="shared" si="3"/>
        <v>JUN</v>
      </c>
    </row>
    <row r="44" spans="1:26" ht="15.75" customHeight="1" x14ac:dyDescent="0.25">
      <c r="K44" s="21">
        <v>50</v>
      </c>
      <c r="L44" s="19" t="str">
        <f t="shared" si="4"/>
        <v>Standard price</v>
      </c>
      <c r="R44" s="56" t="s">
        <v>94</v>
      </c>
      <c r="S44" s="58" t="str">
        <f t="shared" si="1"/>
        <v>11</v>
      </c>
      <c r="V44" s="56" t="s">
        <v>94</v>
      </c>
      <c r="W44" s="58" t="str">
        <f t="shared" si="2"/>
        <v>CA</v>
      </c>
      <c r="Y44" s="56" t="s">
        <v>94</v>
      </c>
      <c r="Z44" s="58" t="str">
        <f t="shared" si="3"/>
        <v>JUL</v>
      </c>
    </row>
    <row r="45" spans="1:26" ht="15.75" customHeight="1" x14ac:dyDescent="0.25">
      <c r="K45" s="21">
        <v>160</v>
      </c>
      <c r="L45" s="19" t="str">
        <f t="shared" si="4"/>
        <v>Standard price</v>
      </c>
      <c r="R45" s="56" t="s">
        <v>65</v>
      </c>
      <c r="S45" s="58" t="str">
        <f t="shared" si="1"/>
        <v>16</v>
      </c>
      <c r="V45" s="56" t="s">
        <v>65</v>
      </c>
      <c r="W45" s="58" t="str">
        <f t="shared" si="2"/>
        <v>ES</v>
      </c>
      <c r="Y45" s="56" t="s">
        <v>65</v>
      </c>
      <c r="Z45" s="58" t="str">
        <f t="shared" si="3"/>
        <v>APR</v>
      </c>
    </row>
    <row r="46" spans="1:26" ht="15.75" customHeight="1" x14ac:dyDescent="0.25">
      <c r="K46" s="20">
        <v>980</v>
      </c>
      <c r="L46" s="18" t="str">
        <f t="shared" si="4"/>
        <v>High Price</v>
      </c>
      <c r="R46" s="56" t="s">
        <v>96</v>
      </c>
      <c r="S46" s="58" t="str">
        <f t="shared" si="1"/>
        <v>07</v>
      </c>
      <c r="V46" s="56" t="s">
        <v>96</v>
      </c>
      <c r="W46" s="58" t="str">
        <f t="shared" si="2"/>
        <v>CA</v>
      </c>
      <c r="Y46" s="56" t="s">
        <v>96</v>
      </c>
      <c r="Z46" s="58" t="str">
        <f t="shared" si="3"/>
        <v>MAR</v>
      </c>
    </row>
    <row r="47" spans="1:26" ht="15.75" customHeight="1" x14ac:dyDescent="0.25">
      <c r="K47" s="21">
        <v>150</v>
      </c>
      <c r="L47" s="19" t="str">
        <f t="shared" si="4"/>
        <v>Standard price</v>
      </c>
      <c r="R47" s="56" t="s">
        <v>99</v>
      </c>
      <c r="S47" s="58" t="str">
        <f t="shared" si="1"/>
        <v>13</v>
      </c>
      <c r="V47" s="56" t="s">
        <v>99</v>
      </c>
      <c r="W47" s="58" t="str">
        <f t="shared" si="2"/>
        <v>CA</v>
      </c>
      <c r="Y47" s="56" t="s">
        <v>99</v>
      </c>
      <c r="Z47" s="58" t="str">
        <f t="shared" si="3"/>
        <v>APR</v>
      </c>
    </row>
    <row r="48" spans="1:26" ht="15.75" customHeight="1" x14ac:dyDescent="0.25">
      <c r="K48" s="21">
        <v>200</v>
      </c>
      <c r="L48" s="19" t="str">
        <f t="shared" si="4"/>
        <v>Standard price</v>
      </c>
      <c r="R48" s="56" t="s">
        <v>102</v>
      </c>
      <c r="S48" s="58" t="str">
        <f t="shared" si="1"/>
        <v>24</v>
      </c>
      <c r="V48" s="56" t="s">
        <v>102</v>
      </c>
      <c r="W48" s="58" t="str">
        <f t="shared" si="2"/>
        <v>CA</v>
      </c>
      <c r="Y48" s="56" t="s">
        <v>102</v>
      </c>
      <c r="Z48" s="58" t="str">
        <f t="shared" si="3"/>
        <v>MAY</v>
      </c>
    </row>
    <row r="49" spans="11:26" ht="15.75" customHeight="1" x14ac:dyDescent="0.25">
      <c r="K49" s="20">
        <v>700</v>
      </c>
      <c r="L49" s="18" t="str">
        <f t="shared" si="4"/>
        <v>High Price</v>
      </c>
      <c r="R49" s="56" t="s">
        <v>104</v>
      </c>
      <c r="S49" s="58" t="str">
        <f t="shared" si="1"/>
        <v>02</v>
      </c>
      <c r="V49" s="56" t="s">
        <v>104</v>
      </c>
      <c r="W49" s="58" t="str">
        <f t="shared" si="2"/>
        <v>CA</v>
      </c>
      <c r="Y49" s="56" t="s">
        <v>104</v>
      </c>
      <c r="Z49" s="58" t="str">
        <f t="shared" si="3"/>
        <v>DEC</v>
      </c>
    </row>
    <row r="50" spans="11:26" ht="15.75" customHeight="1" x14ac:dyDescent="0.25">
      <c r="K50" s="21">
        <v>80</v>
      </c>
      <c r="L50" s="19" t="str">
        <f t="shared" si="4"/>
        <v>Standard price</v>
      </c>
      <c r="R50" s="56" t="s">
        <v>57</v>
      </c>
      <c r="S50" s="58" t="str">
        <f t="shared" si="1"/>
        <v>17</v>
      </c>
      <c r="V50" s="56" t="s">
        <v>57</v>
      </c>
      <c r="W50" s="58" t="str">
        <f t="shared" si="2"/>
        <v>IN</v>
      </c>
      <c r="Y50" s="56" t="s">
        <v>57</v>
      </c>
      <c r="Z50" s="58" t="str">
        <f t="shared" si="3"/>
        <v>JUN</v>
      </c>
    </row>
    <row r="51" spans="11:26" ht="15.75" customHeight="1" x14ac:dyDescent="0.25">
      <c r="K51" s="21">
        <v>150</v>
      </c>
      <c r="L51" s="19" t="str">
        <f t="shared" si="4"/>
        <v>Standard price</v>
      </c>
      <c r="R51" s="56" t="s">
        <v>107</v>
      </c>
      <c r="S51" s="58" t="str">
        <f t="shared" si="1"/>
        <v>09</v>
      </c>
      <c r="V51" s="56" t="s">
        <v>107</v>
      </c>
      <c r="W51" s="58" t="str">
        <f t="shared" si="2"/>
        <v>FR</v>
      </c>
      <c r="Y51" s="56" t="s">
        <v>107</v>
      </c>
      <c r="Z51" s="58" t="str">
        <f t="shared" si="3"/>
        <v>JUL</v>
      </c>
    </row>
    <row r="52" spans="11:26" ht="15.75" customHeight="1" x14ac:dyDescent="0.2">
      <c r="K52" s="21">
        <v>50</v>
      </c>
      <c r="L52" s="19" t="str">
        <f t="shared" si="4"/>
        <v>Standard price</v>
      </c>
    </row>
    <row r="53" spans="11:26" ht="15.75" customHeight="1" x14ac:dyDescent="0.2">
      <c r="K53" s="20">
        <v>800</v>
      </c>
      <c r="L53" s="18" t="str">
        <f t="shared" si="4"/>
        <v>High Price</v>
      </c>
    </row>
    <row r="54" spans="11:26" ht="15.75" customHeight="1" x14ac:dyDescent="0.2">
      <c r="K54" s="21">
        <v>130</v>
      </c>
      <c r="L54" s="19" t="str">
        <f t="shared" si="4"/>
        <v>Standard price</v>
      </c>
    </row>
    <row r="55" spans="11:26" ht="15.75" customHeight="1" x14ac:dyDescent="0.2">
      <c r="K55" s="21">
        <v>400</v>
      </c>
      <c r="L55" s="19" t="str">
        <f t="shared" si="4"/>
        <v>Standard price</v>
      </c>
    </row>
    <row r="56" spans="11:26" ht="15.75" customHeight="1" x14ac:dyDescent="0.2">
      <c r="K56" s="21">
        <v>230</v>
      </c>
      <c r="L56" s="19" t="str">
        <f t="shared" si="4"/>
        <v>Standard price</v>
      </c>
    </row>
    <row r="57" spans="11:26" ht="15.75" customHeight="1" x14ac:dyDescent="0.2">
      <c r="K57" s="21">
        <v>60</v>
      </c>
      <c r="L57" s="19" t="str">
        <f t="shared" si="4"/>
        <v>Standard price</v>
      </c>
    </row>
    <row r="58" spans="11:26" ht="15.75" customHeight="1" x14ac:dyDescent="0.2">
      <c r="K58" s="21">
        <v>40</v>
      </c>
      <c r="L58" s="19" t="str">
        <f t="shared" si="4"/>
        <v>Standard price</v>
      </c>
    </row>
    <row r="59" spans="11:26" ht="15.75" customHeight="1" x14ac:dyDescent="0.2">
      <c r="K59" s="21">
        <v>130</v>
      </c>
      <c r="L59" s="19" t="str">
        <f t="shared" si="4"/>
        <v>Standard price</v>
      </c>
    </row>
    <row r="60" spans="11:26" ht="15.75" customHeight="1" x14ac:dyDescent="0.2">
      <c r="K60" s="21">
        <v>50</v>
      </c>
      <c r="L60" s="19" t="str">
        <f t="shared" si="4"/>
        <v>Standard price</v>
      </c>
    </row>
    <row r="61" spans="11:26" ht="15.75" customHeight="1" x14ac:dyDescent="0.2">
      <c r="K61" s="20">
        <v>950</v>
      </c>
      <c r="L61" s="18" t="str">
        <f t="shared" si="4"/>
        <v>High Price</v>
      </c>
    </row>
    <row r="62" spans="11:26" ht="15.75" customHeight="1" x14ac:dyDescent="0.2">
      <c r="K62" s="21">
        <v>100</v>
      </c>
      <c r="L62" s="19" t="str">
        <f t="shared" si="4"/>
        <v>Standard price</v>
      </c>
    </row>
    <row r="63" spans="11:26" ht="15.75" customHeight="1" thickBot="1" x14ac:dyDescent="0.25">
      <c r="K63" s="22"/>
      <c r="L63" s="13"/>
    </row>
    <row r="64" spans="11:2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9">
    <mergeCell ref="I5:L6"/>
    <mergeCell ref="M5:O6"/>
    <mergeCell ref="I7:L8"/>
    <mergeCell ref="M7:O8"/>
    <mergeCell ref="I2:N2"/>
    <mergeCell ref="I4:L4"/>
    <mergeCell ref="M4:O4"/>
    <mergeCell ref="I9:L10"/>
    <mergeCell ref="M9:O10"/>
    <mergeCell ref="I15:N15"/>
    <mergeCell ref="I17:L17"/>
    <mergeCell ref="M17:O17"/>
    <mergeCell ref="I20:L21"/>
    <mergeCell ref="M18:O19"/>
    <mergeCell ref="M20:O21"/>
    <mergeCell ref="I25:N25"/>
    <mergeCell ref="M27:O27"/>
    <mergeCell ref="I18:L19"/>
    <mergeCell ref="S2:X2"/>
    <mergeCell ref="R4:U4"/>
    <mergeCell ref="V4:X4"/>
    <mergeCell ref="R5:U6"/>
    <mergeCell ref="V5:X6"/>
    <mergeCell ref="R15:S16"/>
    <mergeCell ref="V15:W16"/>
    <mergeCell ref="Y15:Z16"/>
    <mergeCell ref="R7:U8"/>
    <mergeCell ref="V7:X8"/>
    <mergeCell ref="S13:W13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2025-12-02T07:00:32Z</dcterms:modified>
</cp:coreProperties>
</file>