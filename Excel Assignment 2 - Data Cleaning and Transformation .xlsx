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730" windowHeight="11760" activeTab="1"/>
  </bookViews>
  <sheets>
    <sheet name="Instructions" sheetId="1" r:id="rId1"/>
    <sheet name="Dataset" sheetId="2" r:id="rId2"/>
  </sheets>
  <definedNames>
    <definedName name="_xlnm._FilterDatabase" localSheetId="1" hidden="1">Dataset!$R$5:$S$36</definedName>
  </definedNames>
  <calcPr calcId="162913"/>
  <extLst>
    <ext uri="GoogleSheetsCustomDataVersion2">
      <go:sheetsCustomData xmlns:go="http://customooxmlschemas.google.com/" r:id="" roundtripDataChecksum="rIR6213FxEpgZ/k1UDjxyMHI45/G9Bc960XOAAH4UN4="/>
    </ext>
  </extLst>
</workbook>
</file>

<file path=xl/calcChain.xml><?xml version="1.0" encoding="utf-8"?>
<calcChain xmlns="http://schemas.openxmlformats.org/spreadsheetml/2006/main">
  <c r="AH6" i="2" l="1"/>
  <c r="Z36" i="2"/>
  <c r="Z31" i="2"/>
  <c r="Z32" i="2"/>
  <c r="Z33" i="2"/>
  <c r="Z34" i="2"/>
  <c r="Z35" i="2"/>
  <c r="Z27" i="2"/>
  <c r="Z28" i="2"/>
  <c r="Z29" i="2"/>
  <c r="Z30" i="2"/>
  <c r="Z22" i="2"/>
  <c r="Z23" i="2"/>
  <c r="Z24" i="2"/>
  <c r="Z25" i="2"/>
  <c r="Z26" i="2"/>
  <c r="Z18" i="2"/>
  <c r="Z19" i="2"/>
  <c r="Z20" i="2"/>
  <c r="Z21" i="2"/>
  <c r="Z11" i="2"/>
  <c r="Z12" i="2"/>
  <c r="Z13" i="2"/>
  <c r="Z14" i="2"/>
  <c r="Z15" i="2"/>
  <c r="Z16" i="2"/>
  <c r="Z17" i="2"/>
  <c r="Z7" i="2"/>
  <c r="Z8" i="2"/>
  <c r="Z9" i="2"/>
  <c r="Z10" i="2"/>
  <c r="Z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L8" i="2" l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7" i="2"/>
  <c r="AD45" i="2" l="1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44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6" i="2"/>
  <c r="O11" i="2"/>
  <c r="U2" i="2"/>
</calcChain>
</file>

<file path=xl/sharedStrings.xml><?xml version="1.0" encoding="utf-8"?>
<sst xmlns="http://schemas.openxmlformats.org/spreadsheetml/2006/main" count="716" uniqueCount="149">
  <si>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</si>
  <si>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</si>
  <si>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</si>
  <si>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</si>
  <si>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</si>
  <si>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</si>
  <si>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</si>
  <si>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</si>
  <si>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</si>
  <si>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</si>
  <si>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</si>
  <si>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</si>
  <si>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</si>
  <si>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</si>
  <si>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</si>
  <si>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</si>
  <si>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</si>
  <si>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</si>
  <si>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</si>
  <si>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</si>
  <si>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</si>
  <si>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</si>
  <si>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</si>
  <si>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</si>
  <si>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</si>
  <si>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</si>
  <si>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</si>
  <si>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</si>
  <si>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</si>
  <si>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</si>
  <si>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</si>
  <si>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</si>
  <si>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</si>
  <si>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</si>
  <si>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</si>
  <si>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</si>
  <si>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</si>
  <si>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</si>
  <si>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</si>
  <si>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</si>
  <si>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</si>
  <si>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</si>
  <si>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</si>
  <si>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</si>
  <si>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</si>
  <si>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</si>
  <si>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</si>
  <si>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</si>
  <si>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</si>
  <si>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</si>
  <si>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</si>
  <si>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</si>
  <si>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</si>
  <si>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</si>
  <si>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</si>
  <si>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</si>
  <si>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</si>
  <si>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</si>
  <si>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</si>
  <si>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</si>
  <si>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</si>
  <si>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</si>
  <si>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</si>
  <si>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</si>
  <si>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</si>
  <si>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</si>
  <si>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</si>
  <si>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</si>
  <si>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</si>
  <si>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</si>
  <si>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</si>
  <si>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</si>
  <si>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</si>
  <si>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</si>
  <si>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</si>
  <si>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</si>
  <si>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</si>
  <si>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</si>
  <si>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</si>
  <si>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</si>
  <si>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</si>
  <si>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</si>
  <si>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</si>
  <si>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</si>
  <si>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</si>
  <si>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</si>
  <si>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</si>
  <si>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</si>
  <si>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</si>
  <si>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</si>
  <si>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</si>
  <si>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</si>
  <si>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</si>
  <si>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</si>
  <si>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</si>
  <si>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</si>
  <si>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</si>
  <si>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</si>
  <si>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</si>
  <si>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</si>
  <si>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</si>
  <si>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</si>
  <si>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</si>
  <si>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</si>
  <si>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</si>
  <si>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</si>
  <si>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</si>
  <si>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</si>
  <si>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</si>
  <si>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</si>
  <si>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</si>
  <si>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</si>
  <si>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</si>
  <si>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</si>
  <si>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</si>
  <si>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</si>
  <si>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1.Handling Missing Values</t>
  </si>
  <si>
    <t>Missing Price($)</t>
  </si>
  <si>
    <t>Typos Category</t>
  </si>
  <si>
    <t>Missing Category</t>
  </si>
  <si>
    <t>1. Missing Category</t>
  </si>
  <si>
    <t xml:space="preserve">Blank Count   :  </t>
  </si>
  <si>
    <t xml:space="preserve">                   2. Correcting Inconsistent Data</t>
  </si>
  <si>
    <t>Unknown</t>
  </si>
  <si>
    <t>T-Shirt</t>
  </si>
  <si>
    <t>3.  Duplicates</t>
  </si>
  <si>
    <t xml:space="preserve"> Price($)</t>
  </si>
  <si>
    <t xml:space="preserve"> Category</t>
  </si>
  <si>
    <t>4.Splitting</t>
  </si>
  <si>
    <t xml:space="preserve"> Manufacturing Date</t>
  </si>
  <si>
    <t>Country Code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</si>
  <si>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</si>
  <si>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</si>
  <si>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</si>
  <si>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</si>
  <si>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</si>
  <si>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</si>
  <si>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</si>
  <si>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</si>
  <si>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</si>
  <si>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</si>
  <si>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</si>
  <si>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</si>
  <si>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</si>
  <si>
    <t>Currency</t>
  </si>
  <si>
    <t>Price</t>
  </si>
  <si>
    <t>6.Conditional Formatting</t>
  </si>
  <si>
    <t xml:space="preserve"> Manufacturing Date2</t>
  </si>
  <si>
    <t>5. . Nmber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</si>
</sst>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.00"/>
  </numFmts>
  <fonts count="25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6"/>
      <color theme="5" tint="-0.249977111117893"/>
      <name val="Arial"/>
      <family val="2"/>
      <scheme val="minor"/>
    </font>
    <font>
      <sz val="16"/>
      <color theme="5" tint="-0.249977111117893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Arial Black"/>
      <family val="2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b/>
      <sz val="10"/>
      <name val="Arial Black"/>
      <family val="2"/>
    </font>
    <font>
      <sz val="10"/>
      <name val="Arial"/>
      <family val="2"/>
    </font>
    <font>
      <sz val="10"/>
      <name val="Arial"/>
      <family val="2"/>
      <scheme val="minor"/>
    </font>
    <font>
      <sz val="10"/>
      <name val="Arial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rgb="FFE0F7FA"/>
      </patternFill>
    </fill>
    <fill>
      <patternFill patternType="solid">
        <fgColor rgb="FFFFFF00"/>
        <bgColor rgb="FFE0F7FA"/>
      </patternFill>
    </fill>
    <fill>
      <patternFill patternType="solid">
        <fgColor rgb="FF92D050"/>
        <bgColor rgb="FFE0F7FA"/>
      </patternFill>
    </fill>
    <fill>
      <patternFill patternType="solid">
        <fgColor theme="6" tint="-0.249977111117893"/>
        <bgColor rgb="FF4DD0E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6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thin">
        <color theme="8" tint="0.39997558519241921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8" tint="0.3999755851924192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0" fontId="5" fillId="0" borderId="10" xfId="0" applyFont="1" applyBorder="1"/>
    <xf numFmtId="0" fontId="5" fillId="0" borderId="11" xfId="0" applyFont="1" applyBorder="1"/>
    <xf numFmtId="0" fontId="5" fillId="3" borderId="10" xfId="0" applyFont="1" applyFill="1" applyBorder="1"/>
    <xf numFmtId="0" fontId="5" fillId="3" borderId="11" xfId="0" applyFont="1" applyFill="1" applyBorder="1"/>
    <xf numFmtId="0" fontId="5" fillId="3" borderId="12" xfId="0" applyFont="1" applyFill="1" applyBorder="1"/>
    <xf numFmtId="0" fontId="5" fillId="3" borderId="13" xfId="0" applyFont="1" applyFill="1" applyBorder="1"/>
    <xf numFmtId="0" fontId="13" fillId="0" borderId="0" xfId="0" applyFont="1"/>
    <xf numFmtId="0" fontId="14" fillId="0" borderId="0" xfId="0" applyFont="1"/>
    <xf numFmtId="0" fontId="0" fillId="0" borderId="11" xfId="0" applyFont="1" applyBorder="1" applyAlignment="1"/>
    <xf numFmtId="0" fontId="0" fillId="0" borderId="13" xfId="0" applyFont="1" applyBorder="1" applyAlignment="1"/>
    <xf numFmtId="0" fontId="0" fillId="5" borderId="11" xfId="0" applyFont="1" applyFill="1" applyBorder="1" applyAlignment="1"/>
    <xf numFmtId="0" fontId="0" fillId="0" borderId="11" xfId="0" applyFont="1" applyFill="1" applyBorder="1" applyAlignment="1"/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2" fillId="4" borderId="3" xfId="0" applyFont="1" applyFill="1" applyBorder="1" applyAlignment="1">
      <alignment horizontal="left"/>
    </xf>
    <xf numFmtId="0" fontId="12" fillId="4" borderId="4" xfId="0" applyFont="1" applyFill="1" applyBorder="1" applyAlignment="1">
      <alignment horizontal="left"/>
    </xf>
    <xf numFmtId="0" fontId="12" fillId="4" borderId="8" xfId="0" applyFont="1" applyFill="1" applyBorder="1" applyAlignment="1">
      <alignment horizontal="left"/>
    </xf>
    <xf numFmtId="0" fontId="12" fillId="4" borderId="9" xfId="0" applyFont="1" applyFill="1" applyBorder="1" applyAlignment="1">
      <alignment horizontal="left"/>
    </xf>
    <xf numFmtId="0" fontId="12" fillId="4" borderId="5" xfId="0" applyFont="1" applyFill="1" applyBorder="1" applyAlignment="1">
      <alignment horizontal="center" wrapText="1"/>
    </xf>
    <xf numFmtId="0" fontId="12" fillId="4" borderId="7" xfId="0" applyFont="1" applyFill="1" applyBorder="1" applyAlignment="1">
      <alignment horizontal="center" wrapText="1"/>
    </xf>
    <xf numFmtId="0" fontId="12" fillId="4" borderId="8" xfId="0" applyFont="1" applyFill="1" applyBorder="1" applyAlignment="1">
      <alignment horizontal="left" wrapText="1"/>
    </xf>
    <xf numFmtId="0" fontId="12" fillId="4" borderId="9" xfId="0" applyFont="1" applyFill="1" applyBorder="1" applyAlignment="1">
      <alignment horizontal="left" wrapText="1"/>
    </xf>
    <xf numFmtId="0" fontId="12" fillId="4" borderId="2" xfId="0" applyFont="1" applyFill="1" applyBorder="1" applyAlignment="1"/>
    <xf numFmtId="0" fontId="12" fillId="4" borderId="7" xfId="0" applyFont="1" applyFill="1" applyBorder="1" applyAlignment="1"/>
    <xf numFmtId="0" fontId="5" fillId="0" borderId="0" xfId="0" applyFont="1" applyBorder="1"/>
    <xf numFmtId="0" fontId="5" fillId="3" borderId="0" xfId="0" applyFont="1" applyFill="1" applyBorder="1"/>
    <xf numFmtId="0" fontId="5" fillId="3" borderId="16" xfId="0" applyFont="1" applyFill="1" applyBorder="1"/>
    <xf numFmtId="0" fontId="5" fillId="6" borderId="10" xfId="0" applyFont="1" applyFill="1" applyBorder="1"/>
    <xf numFmtId="0" fontId="5" fillId="6" borderId="0" xfId="0" applyFont="1" applyFill="1" applyBorder="1"/>
    <xf numFmtId="0" fontId="5" fillId="6" borderId="11" xfId="0" applyFont="1" applyFill="1" applyBorder="1"/>
    <xf numFmtId="0" fontId="5" fillId="9" borderId="10" xfId="0" applyFont="1" applyFill="1" applyBorder="1"/>
    <xf numFmtId="0" fontId="5" fillId="9" borderId="0" xfId="0" applyFont="1" applyFill="1" applyBorder="1"/>
    <xf numFmtId="0" fontId="5" fillId="9" borderId="11" xfId="0" applyFont="1" applyFill="1" applyBorder="1"/>
    <xf numFmtId="0" fontId="7" fillId="2" borderId="17" xfId="0" applyFont="1" applyFill="1" applyBorder="1" applyAlignment="1">
      <alignment horizontal="center"/>
    </xf>
    <xf numFmtId="0" fontId="15" fillId="10" borderId="8" xfId="0" applyFont="1" applyFill="1" applyBorder="1" applyAlignment="1">
      <alignment horizontal="center"/>
    </xf>
    <xf numFmtId="0" fontId="0" fillId="0" borderId="0" xfId="0" applyFont="1" applyBorder="1" applyAlignment="1"/>
    <xf numFmtId="0" fontId="0" fillId="5" borderId="0" xfId="0" applyFont="1" applyFill="1" applyBorder="1" applyAlignment="1"/>
    <xf numFmtId="0" fontId="15" fillId="10" borderId="1" xfId="0" applyFont="1" applyFill="1" applyBorder="1" applyAlignment="1">
      <alignment horizontal="center"/>
    </xf>
    <xf numFmtId="0" fontId="5" fillId="0" borderId="20" xfId="0" applyFont="1" applyBorder="1"/>
    <xf numFmtId="0" fontId="5" fillId="3" borderId="21" xfId="0" applyFont="1" applyFill="1" applyBorder="1"/>
    <xf numFmtId="0" fontId="5" fillId="0" borderId="21" xfId="0" applyFont="1" applyBorder="1"/>
    <xf numFmtId="0" fontId="5" fillId="3" borderId="19" xfId="0" applyFont="1" applyFill="1" applyBorder="1"/>
    <xf numFmtId="0" fontId="15" fillId="10" borderId="9" xfId="0" applyFont="1" applyFill="1" applyBorder="1" applyAlignment="1">
      <alignment horizontal="center"/>
    </xf>
    <xf numFmtId="0" fontId="17" fillId="0" borderId="1" xfId="0" applyFont="1" applyBorder="1" applyAlignment="1"/>
    <xf numFmtId="0" fontId="17" fillId="0" borderId="8" xfId="0" applyFont="1" applyBorder="1" applyAlignment="1"/>
    <xf numFmtId="0" fontId="0" fillId="0" borderId="0" xfId="0" applyFont="1" applyBorder="1" applyAlignment="1">
      <alignment horizontal="center"/>
    </xf>
    <xf numFmtId="0" fontId="17" fillId="0" borderId="18" xfId="0" applyFont="1" applyBorder="1" applyAlignment="1"/>
    <xf numFmtId="0" fontId="11" fillId="0" borderId="19" xfId="0" applyFont="1" applyBorder="1" applyAlignment="1"/>
    <xf numFmtId="0" fontId="8" fillId="12" borderId="0" xfId="0" applyFont="1" applyFill="1" applyBorder="1"/>
    <xf numFmtId="0" fontId="8" fillId="7" borderId="0" xfId="0" applyFont="1" applyFill="1" applyBorder="1"/>
    <xf numFmtId="0" fontId="16" fillId="11" borderId="0" xfId="0" applyFont="1" applyFill="1" applyBorder="1" applyAlignment="1"/>
    <xf numFmtId="0" fontId="8" fillId="11" borderId="0" xfId="0" applyFont="1" applyFill="1" applyBorder="1"/>
    <xf numFmtId="0" fontId="8" fillId="13" borderId="0" xfId="0" applyFont="1" applyFill="1" applyBorder="1" applyAlignment="1">
      <alignment horizontal="center"/>
    </xf>
    <xf numFmtId="0" fontId="0" fillId="0" borderId="6" xfId="0" applyFont="1" applyBorder="1" applyAlignment="1"/>
    <xf numFmtId="0" fontId="7" fillId="2" borderId="22" xfId="0" applyFont="1" applyFill="1" applyBorder="1" applyAlignment="1">
      <alignment horizontal="center"/>
    </xf>
    <xf numFmtId="0" fontId="0" fillId="0" borderId="0" xfId="0" applyFont="1" applyFill="1" applyAlignment="1"/>
    <xf numFmtId="164" fontId="8" fillId="12" borderId="0" xfId="0" applyNumberFormat="1" applyFont="1" applyFill="1" applyBorder="1" applyAlignment="1">
      <alignment horizontal="center"/>
    </xf>
    <xf numFmtId="164" fontId="8" fillId="7" borderId="0" xfId="0" applyNumberFormat="1" applyFont="1" applyFill="1" applyBorder="1" applyAlignment="1">
      <alignment horizontal="center"/>
    </xf>
    <xf numFmtId="164" fontId="16" fillId="11" borderId="0" xfId="0" applyNumberFormat="1" applyFont="1" applyFill="1" applyBorder="1" applyAlignment="1">
      <alignment horizontal="center"/>
    </xf>
    <xf numFmtId="164" fontId="8" fillId="11" borderId="0" xfId="0" applyNumberFormat="1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3" borderId="21" xfId="0" applyFont="1" applyFill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0" fillId="5" borderId="21" xfId="0" applyFont="1" applyFill="1" applyBorder="1" applyAlignment="1">
      <alignment horizontal="center"/>
    </xf>
    <xf numFmtId="0" fontId="5" fillId="3" borderId="19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5" borderId="0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0" fillId="0" borderId="21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5" fillId="0" borderId="0" xfId="0" applyFont="1" applyFill="1" applyBorder="1"/>
    <xf numFmtId="0" fontId="21" fillId="0" borderId="21" xfId="0" applyFont="1" applyFill="1" applyBorder="1" applyAlignment="1"/>
    <xf numFmtId="0" fontId="21" fillId="0" borderId="19" xfId="0" applyFont="1" applyFill="1" applyBorder="1" applyAlignment="1"/>
    <xf numFmtId="16" fontId="24" fillId="0" borderId="6" xfId="0" applyNumberFormat="1" applyFont="1" applyFill="1" applyBorder="1" applyAlignment="1">
      <alignment horizontal="center"/>
    </xf>
    <xf numFmtId="0" fontId="22" fillId="14" borderId="9" xfId="0" applyFont="1" applyFill="1" applyBorder="1" applyAlignment="1"/>
    <xf numFmtId="0" fontId="22" fillId="14" borderId="8" xfId="0" applyFont="1" applyFill="1" applyBorder="1" applyAlignment="1"/>
    <xf numFmtId="0" fontId="8" fillId="0" borderId="0" xfId="0" applyFont="1" applyFill="1" applyBorder="1"/>
    <xf numFmtId="16" fontId="8" fillId="0" borderId="0" xfId="0" applyNumberFormat="1" applyFont="1" applyFill="1" applyBorder="1"/>
    <xf numFmtId="0" fontId="23" fillId="0" borderId="0" xfId="0" applyFont="1" applyFill="1" applyBorder="1" applyAlignment="1">
      <alignment horizontal="center"/>
    </xf>
    <xf numFmtId="0" fontId="16" fillId="0" borderId="0" xfId="0" applyFont="1" applyFill="1" applyBorder="1" applyAlignment="1"/>
    <xf numFmtId="0" fontId="5" fillId="0" borderId="21" xfId="0" applyFont="1" applyFill="1" applyBorder="1"/>
    <xf numFmtId="0" fontId="5" fillId="0" borderId="19" xfId="0" applyFont="1" applyFill="1" applyBorder="1"/>
    <xf numFmtId="0" fontId="23" fillId="0" borderId="1" xfId="0" applyFont="1" applyFill="1" applyBorder="1" applyAlignment="1">
      <alignment horizontal="center"/>
    </xf>
    <xf numFmtId="0" fontId="5" fillId="15" borderId="21" xfId="0" applyFont="1" applyFill="1" applyBorder="1"/>
    <xf numFmtId="0" fontId="8" fillId="0" borderId="20" xfId="0" applyFont="1" applyFill="1" applyBorder="1"/>
    <xf numFmtId="0" fontId="8" fillId="0" borderId="21" xfId="0" applyFont="1" applyFill="1" applyBorder="1"/>
    <xf numFmtId="0" fontId="8" fillId="6" borderId="21" xfId="0" applyFont="1" applyFill="1" applyBorder="1"/>
    <xf numFmtId="0" fontId="5" fillId="6" borderId="21" xfId="0" applyFont="1" applyFill="1" applyBorder="1"/>
    <xf numFmtId="0" fontId="23" fillId="0" borderId="9" xfId="0" applyFont="1" applyFill="1" applyBorder="1" applyAlignment="1">
      <alignment horizontal="center"/>
    </xf>
    <xf numFmtId="0" fontId="7" fillId="0" borderId="6" xfId="0" applyFont="1" applyFill="1" applyBorder="1" applyAlignment="1">
      <alignment horizontal="center"/>
    </xf>
    <xf numFmtId="0" fontId="23" fillId="0" borderId="3" xfId="0" applyFont="1" applyFill="1" applyBorder="1" applyAlignment="1">
      <alignment horizontal="center"/>
    </xf>
    <xf numFmtId="0" fontId="23" fillId="0" borderId="8" xfId="0" applyFont="1" applyFill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2" fillId="4" borderId="3" xfId="0" applyFont="1" applyFill="1" applyBorder="1" applyAlignment="1">
      <alignment horizontal="center" wrapText="1"/>
    </xf>
    <xf numFmtId="0" fontId="12" fillId="4" borderId="4" xfId="0" applyFont="1" applyFill="1" applyBorder="1" applyAlignment="1">
      <alignment horizontal="center" wrapText="1"/>
    </xf>
    <xf numFmtId="16" fontId="5" fillId="16" borderId="25" xfId="0" applyNumberFormat="1" applyFont="1" applyFill="1" applyBorder="1" applyAlignment="1">
      <alignment horizontal="center"/>
    </xf>
    <xf numFmtId="16" fontId="5" fillId="3" borderId="23" xfId="0" applyNumberFormat="1" applyFont="1" applyFill="1" applyBorder="1" applyAlignment="1">
      <alignment horizontal="center"/>
    </xf>
    <xf numFmtId="16" fontId="5" fillId="16" borderId="23" xfId="0" applyNumberFormat="1" applyFont="1" applyFill="1" applyBorder="1" applyAlignment="1">
      <alignment horizontal="center"/>
    </xf>
    <xf numFmtId="16" fontId="5" fillId="0" borderId="23" xfId="0" applyNumberFormat="1" applyFont="1" applyBorder="1" applyAlignment="1">
      <alignment horizontal="center"/>
    </xf>
    <xf numFmtId="16" fontId="5" fillId="3" borderId="24" xfId="0" applyNumberFormat="1" applyFont="1" applyFill="1" applyBorder="1" applyAlignment="1">
      <alignment horizontal="center"/>
    </xf>
    <xf numFmtId="16" fontId="5" fillId="0" borderId="0" xfId="0" applyNumberFormat="1" applyFont="1" applyFill="1" applyBorder="1"/>
    <xf numFmtId="0" fontId="0" fillId="0" borderId="0" xfId="0" applyFont="1" applyAlignment="1">
      <alignment horizontal="center"/>
    </xf>
    <xf numFmtId="0" fontId="0" fillId="0" borderId="0" xfId="0" applyFont="1" applyFill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9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5" fillId="0" borderId="5" xfId="0" applyFont="1" applyBorder="1"/>
    <xf numFmtId="0" fontId="5" fillId="0" borderId="26" xfId="0" applyFont="1" applyBorder="1"/>
    <xf numFmtId="0" fontId="5" fillId="3" borderId="5" xfId="0" applyFont="1" applyFill="1" applyBorder="1"/>
    <xf numFmtId="0" fontId="5" fillId="3" borderId="26" xfId="0" applyFont="1" applyFill="1" applyBorder="1"/>
    <xf numFmtId="0" fontId="5" fillId="5" borderId="26" xfId="0" applyFont="1" applyFill="1" applyBorder="1"/>
    <xf numFmtId="0" fontId="5" fillId="8" borderId="26" xfId="0" applyFont="1" applyFill="1" applyBorder="1"/>
    <xf numFmtId="0" fontId="5" fillId="3" borderId="7" xfId="0" applyFont="1" applyFill="1" applyBorder="1"/>
    <xf numFmtId="0" fontId="5" fillId="3" borderId="27" xfId="0" applyFont="1" applyFill="1" applyBorder="1"/>
  </cellXfs>
  <cellStyles count="1">
    <cellStyle name="Normal" xfId="0" builtinId="0"/>
  </cellStyles>
  <dxfs count="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3"/>
      </font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1" formatCode="dd/mmm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bottom" textRotation="0" wrapText="0" indent="0" justifyLastLine="0" shrinkToFit="0" readingOrder="0"/>
      <border outline="0">
        <left style="medium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1" formatCode="dd/m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theme="8"/>
          <bgColor theme="8"/>
        </patternFill>
      </fill>
      <alignment horizontal="general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₹&quot;\ #,##0.00"/>
      <fill>
        <patternFill patternType="solid">
          <fgColor rgb="FFE0F7FA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7"/>
        </patternFill>
      </fill>
      <alignment horizontal="center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  <border outline="0">
        <left style="medium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Black"/>
        <scheme val="none"/>
      </font>
      <fill>
        <patternFill patternType="solid">
          <fgColor rgb="FF4DD0E1"/>
          <bgColor theme="6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6" name="Table6" displayName="Table6" ref="Q43:V74" totalsRowShown="0" headerRowDxfId="57" tableBorderDxfId="56">
  <tableColumns count="6">
    <tableColumn id="1" name="Product ID" dataDxfId="55"/>
    <tableColumn id="2" name="Product Name" dataDxfId="54"/>
    <tableColumn id="3" name="Brand Name" dataDxfId="53"/>
    <tableColumn id="4" name=" Price($)" dataDxfId="52"/>
    <tableColumn id="5" name="Quantity" dataDxfId="51"/>
    <tableColumn id="6" name=" Category" dataDxfId="50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7" name="Table7" displayName="Table7" ref="X43:Z74" totalsRowShown="0" headerRowBorderDxfId="49" tableBorderDxfId="48">
  <tableColumns count="3">
    <tableColumn id="1" name="Product ID" dataDxfId="26"/>
    <tableColumn id="2" name=" Manufacturing Date" dataDxfId="24"/>
    <tableColumn id="3" name="Country Code" dataDxfId="25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8" name="Table8" displayName="Table8" ref="AB43:AD74" totalsRowShown="0" headerRowBorderDxfId="47" tableBorderDxfId="46">
  <tableColumns count="3">
    <tableColumn id="1" name="Product Name" dataDxfId="23"/>
    <tableColumn id="2" name="Brand Name" dataDxfId="22"/>
    <tableColumn id="3" name="Product Brand" dataDxfId="21">
      <calculatedColumnFormula>CONCATENATE(AB44," - ",AC44)</calculatedColumnFormula>
    </tableColumn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id="11" name="Table11" displayName="Table11" ref="AC5:AD36" totalsRowShown="0" headerRowDxfId="45" dataDxfId="44">
  <tableColumns count="2">
    <tableColumn id="1" name="Price" dataDxfId="43"/>
    <tableColumn id="2" name="Currency" dataDxfId="42"/>
  </tableColumns>
  <tableStyleInfo name="TableStyleLight17" showFirstColumn="0" showLastColumn="0" showRowStripes="1" showColumnStripes="0"/>
</table>
</file>

<file path=xl/tables/table5.xml><?xml version="1.0" encoding="utf-8"?>
<table xmlns="http://schemas.openxmlformats.org/spreadsheetml/2006/main" id="1" name="Table1" displayName="Table1" ref="K6:L37" totalsRowShown="0" headerRowDxfId="41" headerRowBorderDxfId="40" tableBorderDxfId="39">
  <tableColumns count="2">
    <tableColumn id="1" name="Price ($)" dataDxfId="38"/>
    <tableColumn id="2" name="Missing Price($)" dataDxfId="37">
      <calculatedColumnFormula>IF(ISBLANK(K7),ROUND(AVERAGEIF($F$2:$F$32,F2,$K$7:$K$37),0),K7)</calculatedColumnFormula>
    </tableColumn>
  </tableColumns>
  <tableStyleInfo name="TableStyleMedium22" showFirstColumn="0" showLastColumn="0" showRowStripes="1" showColumnStripes="0"/>
</table>
</file>

<file path=xl/tables/table6.xml><?xml version="1.0" encoding="utf-8"?>
<table xmlns="http://schemas.openxmlformats.org/spreadsheetml/2006/main" id="2" name="Table2" displayName="Table2" ref="AG5:AH36" totalsRowShown="0" headerRowDxfId="36" headerRowBorderDxfId="35" tableBorderDxfId="34">
  <tableColumns count="2">
    <tableColumn id="1" name=" Manufacturing Date" dataDxfId="33"/>
    <tableColumn id="2" name=" Manufacturing Date2" dataDxfId="32">
      <calculatedColumnFormula>TEXT(Dataset!AG6,"DD-MM-YYYY")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4" name="Table4" displayName="Table4" ref="Z5:AA36" totalsRowShown="0" headerRowDxfId="31" headerRowBorderDxfId="30" tableBorderDxfId="29">
  <tableColumns count="2">
    <tableColumn id="1" name="Product Name" dataDxfId="28">
      <calculatedColumnFormula>PROPER(TRIM(V6))</calculatedColumnFormula>
    </tableColumn>
    <tableColumn id="2" name="Category" dataDxfId="27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showGridLines="0" topLeftCell="A3" workbookViewId="0">
      <selection activeCell="C16" sqref="C16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" t="s">
        <v>1</v>
      </c>
    </row>
    <row r="4" spans="1:11" ht="15.75" customHeight="1" x14ac:dyDescent="0.25">
      <c r="C4" s="17" t="s">
        <v>2</v>
      </c>
    </row>
    <row r="5" spans="1:11" ht="15.75" customHeight="1" x14ac:dyDescent="0.25">
      <c r="B5" s="3"/>
      <c r="C5" s="17" t="s">
        <v>3</v>
      </c>
    </row>
    <row r="6" spans="1:11" ht="15.75" customHeight="1" x14ac:dyDescent="0.25">
      <c r="B6" s="3"/>
    </row>
    <row r="7" spans="1:11" ht="15.75" customHeight="1" x14ac:dyDescent="0.25">
      <c r="B7" s="18" t="s">
        <v>4</v>
      </c>
    </row>
    <row r="8" spans="1:11" ht="15.75" customHeight="1" x14ac:dyDescent="0.25">
      <c r="C8" s="17" t="s">
        <v>5</v>
      </c>
    </row>
    <row r="9" spans="1:11" ht="15.75" customHeight="1" x14ac:dyDescent="0.25">
      <c r="C9" s="17" t="s">
        <v>6</v>
      </c>
    </row>
    <row r="10" spans="1:11" ht="15.75" customHeight="1" x14ac:dyDescent="0.25">
      <c r="C10" s="17" t="s">
        <v>7</v>
      </c>
    </row>
    <row r="11" spans="1:11" ht="15.75" customHeight="1" x14ac:dyDescent="0.25">
      <c r="B11" s="3"/>
    </row>
    <row r="12" spans="1:11" ht="15.75" customHeight="1" x14ac:dyDescent="0.25">
      <c r="B12" s="2" t="s">
        <v>8</v>
      </c>
    </row>
    <row r="13" spans="1:11" ht="15.75" customHeight="1" x14ac:dyDescent="0.25">
      <c r="B13" s="2"/>
      <c r="C13" s="17" t="s">
        <v>9</v>
      </c>
    </row>
    <row r="14" spans="1:11" ht="15.75" customHeight="1" x14ac:dyDescent="0.2"/>
    <row r="15" spans="1:11" ht="15.75" customHeight="1" x14ac:dyDescent="0.25">
      <c r="B15" s="4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25">
      <c r="B16" s="5"/>
      <c r="C16" s="6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25">
      <c r="B17" s="5"/>
      <c r="C17" s="6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25">
      <c r="B19" s="4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25">
      <c r="B20" s="5"/>
      <c r="C20" s="6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25">
      <c r="B21" s="5"/>
      <c r="C21" s="6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25">
      <c r="B23" s="4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25">
      <c r="B24" s="5"/>
      <c r="C24" s="6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25">
      <c r="B25" s="5"/>
      <c r="C25" s="6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25">
      <c r="B26" s="5"/>
      <c r="C26" s="6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7"/>
      <c r="E27" s="5"/>
      <c r="F27" s="5"/>
      <c r="G27" s="5"/>
      <c r="H27" s="5"/>
      <c r="I27" s="5"/>
      <c r="J27" s="5"/>
      <c r="K27" s="5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L1001"/>
  <sheetViews>
    <sheetView tabSelected="1" workbookViewId="0">
      <selection activeCell="E42" sqref="E42"/>
    </sheetView>
  </sheetViews>
  <sheetFormatPr defaultColWidth="12.5703125" defaultRowHeight="15" customHeight="1" x14ac:dyDescent="0.2"/>
  <cols>
    <col min="1" max="1" width="12.5703125" customWidth="1"/>
    <col min="2" max="2" width="16.42578125" customWidth="1"/>
    <col min="3" max="5" width="12.5703125" customWidth="1"/>
    <col min="6" max="6" width="13.28515625" customWidth="1"/>
    <col min="7" max="7" width="19.140625" customWidth="1"/>
    <col min="12" max="12" width="17.28515625" customWidth="1"/>
    <col min="13" max="13" width="10.42578125" customWidth="1"/>
    <col min="14" max="14" width="17" customWidth="1"/>
    <col min="16" max="16" width="7" customWidth="1"/>
    <col min="17" max="17" width="15.28515625" customWidth="1"/>
    <col min="18" max="18" width="17.85546875" customWidth="1"/>
    <col min="19" max="19" width="19" customWidth="1"/>
    <col min="20" max="20" width="19.42578125" customWidth="1"/>
    <col min="21" max="21" width="15.5703125" customWidth="1"/>
    <col min="22" max="22" width="19.85546875" customWidth="1"/>
    <col min="23" max="23" width="23.140625" customWidth="1"/>
    <col min="24" max="24" width="15.140625" bestFit="1" customWidth="1"/>
    <col min="25" max="25" width="21.42578125" customWidth="1"/>
    <col min="26" max="26" width="16" customWidth="1"/>
    <col min="27" max="27" width="20.85546875" customWidth="1"/>
    <col min="28" max="28" width="19.7109375" customWidth="1"/>
    <col min="29" max="29" width="17.5703125" customWidth="1"/>
    <col min="30" max="30" width="23.42578125" customWidth="1"/>
    <col min="31" max="31" width="15" customWidth="1"/>
    <col min="33" max="33" width="21.42578125" customWidth="1"/>
    <col min="34" max="34" width="22.42578125" customWidth="1"/>
    <col min="37" max="37" width="19.7109375" customWidth="1"/>
  </cols>
  <sheetData>
    <row r="1" spans="1:38" ht="15.75" customHeight="1" thickBot="1" x14ac:dyDescent="0.25">
      <c r="A1" s="8" t="s">
        <v>19</v>
      </c>
      <c r="B1" s="8" t="s">
        <v>20</v>
      </c>
      <c r="C1" s="8" t="s">
        <v>21</v>
      </c>
      <c r="D1" s="8" t="s">
        <v>22</v>
      </c>
      <c r="E1" s="8" t="s">
        <v>23</v>
      </c>
      <c r="F1" s="8" t="s">
        <v>24</v>
      </c>
    </row>
    <row r="2" spans="1:38" ht="15.75" customHeight="1" x14ac:dyDescent="0.2">
      <c r="A2" s="9" t="s">
        <v>25</v>
      </c>
      <c r="B2" s="9" t="s">
        <v>26</v>
      </c>
      <c r="C2" s="9" t="s">
        <v>27</v>
      </c>
      <c r="D2" s="9">
        <v>1000</v>
      </c>
      <c r="E2" s="9">
        <v>30</v>
      </c>
      <c r="F2" s="9" t="s">
        <v>28</v>
      </c>
      <c r="H2" s="108" t="s">
        <v>116</v>
      </c>
      <c r="I2" s="109"/>
      <c r="J2" s="109"/>
      <c r="K2" s="109"/>
      <c r="L2" s="109"/>
      <c r="M2" s="109"/>
      <c r="N2" s="110"/>
      <c r="O2" s="25"/>
      <c r="P2" s="25"/>
      <c r="Q2" s="108" t="s">
        <v>120</v>
      </c>
      <c r="R2" s="109"/>
      <c r="S2" s="110"/>
      <c r="T2" s="25"/>
      <c r="U2" t="str">
        <f>UPPER(K3)</f>
        <v/>
      </c>
      <c r="V2" s="108" t="s">
        <v>122</v>
      </c>
      <c r="W2" s="114"/>
      <c r="X2" s="114"/>
      <c r="Y2" s="115"/>
      <c r="AD2" s="108" t="s">
        <v>148</v>
      </c>
      <c r="AE2" s="114"/>
      <c r="AF2" s="114"/>
      <c r="AG2" s="115"/>
      <c r="AH2" s="137"/>
    </row>
    <row r="3" spans="1:38" ht="15.75" customHeight="1" thickBot="1" x14ac:dyDescent="0.25">
      <c r="A3" s="10" t="s">
        <v>29</v>
      </c>
      <c r="B3" s="10" t="s">
        <v>30</v>
      </c>
      <c r="C3" s="10" t="s">
        <v>31</v>
      </c>
      <c r="D3" s="10">
        <v>80</v>
      </c>
      <c r="E3" s="10">
        <v>15</v>
      </c>
      <c r="F3" s="10" t="s">
        <v>32</v>
      </c>
      <c r="H3" s="111"/>
      <c r="I3" s="112"/>
      <c r="J3" s="112"/>
      <c r="K3" s="112"/>
      <c r="L3" s="112"/>
      <c r="M3" s="112"/>
      <c r="N3" s="113"/>
      <c r="O3" s="25"/>
      <c r="P3" s="25"/>
      <c r="Q3" s="111"/>
      <c r="R3" s="112"/>
      <c r="S3" s="113"/>
      <c r="T3" s="25"/>
      <c r="V3" s="116"/>
      <c r="W3" s="117"/>
      <c r="X3" s="117"/>
      <c r="Y3" s="118"/>
      <c r="AD3" s="116"/>
      <c r="AE3" s="117"/>
      <c r="AF3" s="117"/>
      <c r="AG3" s="118"/>
      <c r="AH3" s="137"/>
    </row>
    <row r="4" spans="1:38" ht="15.75" customHeight="1" thickBot="1" x14ac:dyDescent="0.3">
      <c r="A4" s="9" t="s">
        <v>33</v>
      </c>
      <c r="B4" s="9" t="s">
        <v>34</v>
      </c>
      <c r="C4" s="9" t="s">
        <v>35</v>
      </c>
      <c r="D4" s="9">
        <v>130</v>
      </c>
      <c r="E4" s="9">
        <v>40</v>
      </c>
      <c r="F4" s="9" t="s">
        <v>36</v>
      </c>
      <c r="I4" s="6"/>
      <c r="J4" s="5"/>
      <c r="K4" s="5"/>
      <c r="L4" s="5"/>
      <c r="M4" s="5"/>
      <c r="N4" s="5"/>
      <c r="O4" s="5"/>
      <c r="AC4" s="47"/>
      <c r="AD4" s="47"/>
    </row>
    <row r="5" spans="1:38" ht="15.75" customHeight="1" thickBot="1" x14ac:dyDescent="0.3">
      <c r="A5" s="10" t="s">
        <v>37</v>
      </c>
      <c r="B5" s="10" t="s">
        <v>38</v>
      </c>
      <c r="C5" s="10" t="s">
        <v>39</v>
      </c>
      <c r="D5" s="10">
        <v>900</v>
      </c>
      <c r="E5" s="10">
        <v>25</v>
      </c>
      <c r="F5" s="10" t="s">
        <v>28</v>
      </c>
      <c r="I5" s="6"/>
      <c r="J5" s="5"/>
      <c r="K5" s="5"/>
      <c r="L5" s="5"/>
      <c r="M5" s="5"/>
      <c r="N5" s="5"/>
      <c r="O5" s="5"/>
      <c r="R5" s="80" t="s">
        <v>24</v>
      </c>
      <c r="S5" s="66" t="s">
        <v>119</v>
      </c>
      <c r="V5" s="98" t="s">
        <v>20</v>
      </c>
      <c r="X5" s="85" t="s">
        <v>118</v>
      </c>
      <c r="Z5" s="104" t="s">
        <v>20</v>
      </c>
      <c r="AA5" s="107" t="s">
        <v>24</v>
      </c>
      <c r="AC5" s="64" t="s">
        <v>145</v>
      </c>
      <c r="AD5" s="64" t="s">
        <v>144</v>
      </c>
      <c r="AG5" s="90" t="s">
        <v>129</v>
      </c>
      <c r="AH5" s="91" t="s">
        <v>147</v>
      </c>
      <c r="AJ5" s="92"/>
      <c r="AL5" s="93"/>
    </row>
    <row r="6" spans="1:38" ht="15.75" customHeight="1" thickBot="1" x14ac:dyDescent="0.25">
      <c r="A6" s="9" t="s">
        <v>40</v>
      </c>
      <c r="B6" s="9" t="s">
        <v>41</v>
      </c>
      <c r="C6" s="9" t="s">
        <v>42</v>
      </c>
      <c r="D6" s="9">
        <v>70</v>
      </c>
      <c r="E6" s="9">
        <v>20</v>
      </c>
      <c r="F6" s="9"/>
      <c r="K6" s="79" t="s">
        <v>22</v>
      </c>
      <c r="L6" s="79" t="s">
        <v>117</v>
      </c>
      <c r="R6" s="138" t="s">
        <v>28</v>
      </c>
      <c r="S6" s="139" t="str">
        <f t="shared" ref="S6:S36" si="0">IF(R6="","Unknown",R6)</f>
        <v>Electronics</v>
      </c>
      <c r="V6" s="99" t="s">
        <v>26</v>
      </c>
      <c r="W6" s="94"/>
      <c r="X6" s="100" t="s">
        <v>28</v>
      </c>
      <c r="Z6" s="105" t="str">
        <f>PROPER(TRIM(V6))</f>
        <v>Laptop</v>
      </c>
      <c r="AA6" s="106" t="s">
        <v>28</v>
      </c>
      <c r="AC6" s="60">
        <v>1000</v>
      </c>
      <c r="AD6" s="68">
        <v>1000</v>
      </c>
      <c r="AG6" s="89">
        <v>45685</v>
      </c>
      <c r="AH6" s="57" t="str">
        <f>TEXT(Dataset!AG6,"DD-MM-YYYY")</f>
        <v>28-01-2025</v>
      </c>
      <c r="AJ6" s="92"/>
      <c r="AL6" s="93"/>
    </row>
    <row r="7" spans="1:38" ht="15.75" customHeight="1" x14ac:dyDescent="0.2">
      <c r="A7" s="10" t="s">
        <v>43</v>
      </c>
      <c r="B7" s="10" t="s">
        <v>44</v>
      </c>
      <c r="C7" s="10" t="s">
        <v>45</v>
      </c>
      <c r="D7" s="10"/>
      <c r="E7" s="10">
        <v>45</v>
      </c>
      <c r="F7" s="10" t="s">
        <v>46</v>
      </c>
      <c r="G7" s="67"/>
      <c r="K7" s="77">
        <v>1000</v>
      </c>
      <c r="L7" s="77">
        <f t="shared" ref="L7:L37" si="1">IF(ISBLANK(K7),ROUND(AVERAGEIF($F$2:$F$32,F2,$K$7:$K$37),0),K7)</f>
        <v>1000</v>
      </c>
      <c r="R7" s="140" t="s">
        <v>32</v>
      </c>
      <c r="S7" s="141" t="str">
        <f t="shared" si="0"/>
        <v>Fashion</v>
      </c>
      <c r="V7" s="96" t="s">
        <v>30</v>
      </c>
      <c r="W7" s="92"/>
      <c r="X7" s="96" t="s">
        <v>32</v>
      </c>
      <c r="Z7" s="105" t="str">
        <f t="shared" ref="Z7:Z36" si="2">PROPER(TRIM(V7))</f>
        <v>Sneakers</v>
      </c>
      <c r="AA7" s="94" t="s">
        <v>32</v>
      </c>
      <c r="AC7" s="61">
        <v>80</v>
      </c>
      <c r="AD7" s="69">
        <v>80</v>
      </c>
      <c r="AG7" s="89">
        <v>45703</v>
      </c>
      <c r="AH7" s="57" t="str">
        <f>TEXT(Dataset!AG7,"DD-MM-YYYY")</f>
        <v>15-02-2025</v>
      </c>
      <c r="AJ7" s="92"/>
      <c r="AL7" s="93"/>
    </row>
    <row r="8" spans="1:38" ht="15.75" customHeight="1" x14ac:dyDescent="0.2">
      <c r="A8" s="9" t="s">
        <v>47</v>
      </c>
      <c r="B8" s="9" t="s">
        <v>48</v>
      </c>
      <c r="C8" s="9" t="s">
        <v>49</v>
      </c>
      <c r="D8" s="9">
        <v>30</v>
      </c>
      <c r="E8" s="9">
        <v>5</v>
      </c>
      <c r="F8" s="9" t="s">
        <v>32</v>
      </c>
      <c r="K8" s="77">
        <v>80</v>
      </c>
      <c r="L8" s="77">
        <f t="shared" si="1"/>
        <v>80</v>
      </c>
      <c r="R8" s="138" t="s">
        <v>36</v>
      </c>
      <c r="S8" s="139" t="str">
        <f t="shared" si="0"/>
        <v>Kitchen</v>
      </c>
      <c r="V8" s="96" t="s">
        <v>34</v>
      </c>
      <c r="W8" s="92"/>
      <c r="X8" s="96" t="s">
        <v>36</v>
      </c>
      <c r="Z8" s="105" t="str">
        <f t="shared" si="2"/>
        <v>Coffee Maker</v>
      </c>
      <c r="AA8" s="94" t="s">
        <v>36</v>
      </c>
      <c r="AC8" s="60">
        <v>130</v>
      </c>
      <c r="AD8" s="68">
        <v>130</v>
      </c>
      <c r="AG8" s="89">
        <v>45719</v>
      </c>
      <c r="AH8" s="57" t="str">
        <f>TEXT(Dataset!AG8,"DD-MM-YYYY")</f>
        <v>03-03-2025</v>
      </c>
      <c r="AJ8" s="92"/>
      <c r="AL8" s="93"/>
    </row>
    <row r="9" spans="1:38" ht="15.75" customHeight="1" x14ac:dyDescent="0.2">
      <c r="A9" s="10" t="s">
        <v>50</v>
      </c>
      <c r="B9" s="10" t="s">
        <v>51</v>
      </c>
      <c r="C9" s="10" t="s">
        <v>52</v>
      </c>
      <c r="D9" s="10">
        <v>90</v>
      </c>
      <c r="E9" s="10">
        <v>35</v>
      </c>
      <c r="F9" s="10" t="s">
        <v>36</v>
      </c>
      <c r="K9" s="77">
        <v>130</v>
      </c>
      <c r="L9" s="77">
        <f t="shared" si="1"/>
        <v>130</v>
      </c>
      <c r="R9" s="140" t="s">
        <v>28</v>
      </c>
      <c r="S9" s="141" t="str">
        <f t="shared" si="0"/>
        <v>Electronics</v>
      </c>
      <c r="V9" s="99" t="s">
        <v>38</v>
      </c>
      <c r="W9" s="95"/>
      <c r="X9" s="96" t="s">
        <v>28</v>
      </c>
      <c r="Z9" s="105" t="str">
        <f t="shared" si="2"/>
        <v>Smartphone</v>
      </c>
      <c r="AA9" s="94" t="s">
        <v>28</v>
      </c>
      <c r="AC9" s="61">
        <v>900</v>
      </c>
      <c r="AD9" s="69">
        <v>900</v>
      </c>
      <c r="AG9" s="89">
        <v>45758</v>
      </c>
      <c r="AH9" s="57" t="str">
        <f>TEXT(Dataset!AG9,"DD-MM-YYYY")</f>
        <v>11-04-2025</v>
      </c>
      <c r="AJ9" s="92"/>
      <c r="AL9" s="93"/>
    </row>
    <row r="10" spans="1:38" ht="15.75" customHeight="1" thickBot="1" x14ac:dyDescent="0.25">
      <c r="A10" s="9" t="s">
        <v>53</v>
      </c>
      <c r="B10" s="9" t="s">
        <v>54</v>
      </c>
      <c r="C10" s="9" t="s">
        <v>55</v>
      </c>
      <c r="D10" s="9">
        <v>500</v>
      </c>
      <c r="E10" s="9">
        <v>50</v>
      </c>
      <c r="F10" s="9" t="s">
        <v>28</v>
      </c>
      <c r="K10" s="77">
        <v>900</v>
      </c>
      <c r="L10" s="77">
        <f t="shared" si="1"/>
        <v>900</v>
      </c>
      <c r="R10" s="138"/>
      <c r="S10" s="142" t="str">
        <f t="shared" si="0"/>
        <v>Unknown</v>
      </c>
      <c r="V10" s="96" t="s">
        <v>41</v>
      </c>
      <c r="W10" s="95"/>
      <c r="X10" s="101" t="s">
        <v>123</v>
      </c>
      <c r="Z10" s="105" t="str">
        <f t="shared" si="2"/>
        <v>Backpack</v>
      </c>
      <c r="AA10" s="94" t="s">
        <v>123</v>
      </c>
      <c r="AC10" s="60">
        <v>70</v>
      </c>
      <c r="AD10" s="68">
        <v>70</v>
      </c>
      <c r="AG10" s="89">
        <v>45799</v>
      </c>
      <c r="AH10" s="57" t="str">
        <f>TEXT(Dataset!AG10,"DD-MM-YYYY")</f>
        <v>22-05-2025</v>
      </c>
      <c r="AJ10" s="92"/>
      <c r="AL10" s="93"/>
    </row>
    <row r="11" spans="1:38" ht="15.75" customHeight="1" x14ac:dyDescent="0.25">
      <c r="A11" s="10" t="s">
        <v>56</v>
      </c>
      <c r="B11" s="10" t="s">
        <v>57</v>
      </c>
      <c r="C11" s="10" t="s">
        <v>58</v>
      </c>
      <c r="D11" s="10">
        <v>130</v>
      </c>
      <c r="E11" s="10">
        <v>10</v>
      </c>
      <c r="F11" s="10" t="s">
        <v>59</v>
      </c>
      <c r="K11" s="77">
        <v>70</v>
      </c>
      <c r="L11" s="77">
        <f t="shared" si="1"/>
        <v>70</v>
      </c>
      <c r="M11" s="65"/>
      <c r="N11" s="34" t="s">
        <v>121</v>
      </c>
      <c r="O11" s="26">
        <f>COUNTBLANK(D2:D32)</f>
        <v>3</v>
      </c>
      <c r="P11" s="27"/>
      <c r="R11" s="140" t="s">
        <v>46</v>
      </c>
      <c r="S11" s="141" t="str">
        <f t="shared" si="0"/>
        <v>Electroni</v>
      </c>
      <c r="V11" s="96" t="s">
        <v>44</v>
      </c>
      <c r="W11" s="95"/>
      <c r="X11" s="102" t="s">
        <v>46</v>
      </c>
      <c r="Z11" s="105" t="str">
        <f t="shared" si="2"/>
        <v>Headphones</v>
      </c>
      <c r="AA11" s="94" t="s">
        <v>28</v>
      </c>
      <c r="AC11" s="62">
        <v>187</v>
      </c>
      <c r="AD11" s="70">
        <v>187</v>
      </c>
      <c r="AG11" s="89">
        <v>45815</v>
      </c>
      <c r="AH11" s="57" t="str">
        <f>TEXT(Dataset!AG11,"DD-MM-YYYY")</f>
        <v>07-06-2025</v>
      </c>
      <c r="AJ11" s="92"/>
      <c r="AL11" s="93"/>
    </row>
    <row r="12" spans="1:38" ht="15.75" customHeight="1" thickBot="1" x14ac:dyDescent="0.3">
      <c r="A12" s="9" t="s">
        <v>60</v>
      </c>
      <c r="B12" s="9" t="s">
        <v>61</v>
      </c>
      <c r="C12" s="9" t="s">
        <v>62</v>
      </c>
      <c r="D12" s="9">
        <v>950</v>
      </c>
      <c r="E12" s="9">
        <v>25</v>
      </c>
      <c r="F12" s="9" t="s">
        <v>28</v>
      </c>
      <c r="K12" s="78"/>
      <c r="L12" s="78">
        <f t="shared" si="1"/>
        <v>187</v>
      </c>
      <c r="M12" s="65"/>
      <c r="N12" s="35"/>
      <c r="O12" s="28"/>
      <c r="P12" s="29"/>
      <c r="R12" s="138" t="s">
        <v>32</v>
      </c>
      <c r="S12" s="139" t="str">
        <f t="shared" si="0"/>
        <v>Fashion</v>
      </c>
      <c r="V12" s="96" t="s">
        <v>48</v>
      </c>
      <c r="W12" s="95"/>
      <c r="X12" s="96" t="s">
        <v>32</v>
      </c>
      <c r="Z12" s="105" t="str">
        <f t="shared" si="2"/>
        <v>T-Shirt</v>
      </c>
      <c r="AA12" s="94" t="s">
        <v>32</v>
      </c>
      <c r="AC12" s="60">
        <v>30</v>
      </c>
      <c r="AD12" s="68">
        <v>30</v>
      </c>
      <c r="AG12" s="89">
        <v>45857</v>
      </c>
      <c r="AH12" s="57" t="str">
        <f>TEXT(Dataset!AG12,"DD-MM-YYYY")</f>
        <v>19-07-2025</v>
      </c>
      <c r="AJ12" s="92"/>
      <c r="AL12" s="93"/>
    </row>
    <row r="13" spans="1:38" ht="15.75" customHeight="1" x14ac:dyDescent="0.25">
      <c r="A13" s="10" t="s">
        <v>63</v>
      </c>
      <c r="B13" s="10" t="s">
        <v>30</v>
      </c>
      <c r="C13" s="10" t="s">
        <v>49</v>
      </c>
      <c r="D13" s="10">
        <v>90</v>
      </c>
      <c r="E13" s="10">
        <v>40</v>
      </c>
      <c r="F13" s="10"/>
      <c r="K13" s="77">
        <v>30</v>
      </c>
      <c r="L13" s="77">
        <f t="shared" si="1"/>
        <v>30</v>
      </c>
      <c r="N13" s="30"/>
      <c r="O13" s="119"/>
      <c r="P13" s="120"/>
      <c r="R13" s="140" t="s">
        <v>36</v>
      </c>
      <c r="S13" s="141" t="str">
        <f t="shared" si="0"/>
        <v>Kitchen</v>
      </c>
      <c r="V13" s="96" t="s">
        <v>51</v>
      </c>
      <c r="W13" s="95"/>
      <c r="X13" s="96" t="s">
        <v>36</v>
      </c>
      <c r="Z13" s="105" t="str">
        <f t="shared" si="2"/>
        <v>Blender</v>
      </c>
      <c r="AA13" s="94" t="s">
        <v>36</v>
      </c>
      <c r="AC13" s="61">
        <v>90</v>
      </c>
      <c r="AD13" s="69">
        <v>90</v>
      </c>
      <c r="AG13" s="89">
        <v>45892</v>
      </c>
      <c r="AH13" s="57" t="str">
        <f>TEXT(Dataset!AG13,"DD-MM-YYYY")</f>
        <v>23-08-2025</v>
      </c>
      <c r="AJ13" s="92"/>
      <c r="AL13" s="93"/>
    </row>
    <row r="14" spans="1:38" ht="15.75" customHeight="1" thickBot="1" x14ac:dyDescent="0.3">
      <c r="A14" s="9" t="s">
        <v>64</v>
      </c>
      <c r="B14" s="9" t="s">
        <v>34</v>
      </c>
      <c r="C14" s="9" t="s">
        <v>65</v>
      </c>
      <c r="D14" s="9">
        <v>120</v>
      </c>
      <c r="E14" s="9">
        <v>35</v>
      </c>
      <c r="F14" s="9"/>
      <c r="K14" s="77">
        <v>90</v>
      </c>
      <c r="L14" s="77">
        <f t="shared" si="1"/>
        <v>90</v>
      </c>
      <c r="N14" s="31"/>
      <c r="O14" s="32"/>
      <c r="P14" s="33"/>
      <c r="R14" s="138" t="s">
        <v>28</v>
      </c>
      <c r="S14" s="139" t="str">
        <f t="shared" si="0"/>
        <v>Electronics</v>
      </c>
      <c r="V14" s="96" t="s">
        <v>54</v>
      </c>
      <c r="W14" s="95"/>
      <c r="X14" s="96" t="s">
        <v>28</v>
      </c>
      <c r="Z14" s="105" t="str">
        <f t="shared" si="2"/>
        <v>Tablet</v>
      </c>
      <c r="AA14" s="94" t="s">
        <v>28</v>
      </c>
      <c r="AC14" s="60">
        <v>500</v>
      </c>
      <c r="AD14" s="68">
        <v>500</v>
      </c>
      <c r="AG14" s="89">
        <v>45905</v>
      </c>
      <c r="AH14" s="57" t="str">
        <f>TEXT(Dataset!AG14,"DD-MM-YYYY")</f>
        <v>05-09-2025</v>
      </c>
      <c r="AJ14" s="92"/>
      <c r="AL14" s="93"/>
    </row>
    <row r="15" spans="1:38" ht="15.75" customHeight="1" x14ac:dyDescent="0.2">
      <c r="A15" s="10" t="s">
        <v>66</v>
      </c>
      <c r="B15" s="10" t="s">
        <v>67</v>
      </c>
      <c r="C15" s="10" t="s">
        <v>68</v>
      </c>
      <c r="D15" s="10">
        <v>150</v>
      </c>
      <c r="E15" s="10">
        <v>15</v>
      </c>
      <c r="F15" s="10" t="s">
        <v>46</v>
      </c>
      <c r="K15" s="77">
        <v>500</v>
      </c>
      <c r="L15" s="77">
        <f t="shared" si="1"/>
        <v>500</v>
      </c>
      <c r="R15" s="140" t="s">
        <v>59</v>
      </c>
      <c r="S15" s="141" t="str">
        <f t="shared" si="0"/>
        <v>Outdoor</v>
      </c>
      <c r="V15" s="96" t="s">
        <v>57</v>
      </c>
      <c r="W15" s="95"/>
      <c r="X15" s="96" t="s">
        <v>59</v>
      </c>
      <c r="Z15" s="105" t="str">
        <f t="shared" si="2"/>
        <v>Hiking Boots</v>
      </c>
      <c r="AA15" s="94" t="s">
        <v>59</v>
      </c>
      <c r="AC15" s="61">
        <v>130</v>
      </c>
      <c r="AD15" s="69">
        <v>130</v>
      </c>
      <c r="AG15" s="89">
        <v>45944</v>
      </c>
      <c r="AH15" s="57" t="str">
        <f>TEXT(Dataset!AG15,"DD-MM-YYYY")</f>
        <v>14-10-2025</v>
      </c>
      <c r="AJ15" s="92"/>
      <c r="AL15" s="93"/>
    </row>
    <row r="16" spans="1:38" ht="15.75" customHeight="1" x14ac:dyDescent="0.2">
      <c r="A16" s="9" t="s">
        <v>69</v>
      </c>
      <c r="B16" s="9" t="s">
        <v>70</v>
      </c>
      <c r="C16" s="9" t="s">
        <v>71</v>
      </c>
      <c r="D16" s="9">
        <v>250</v>
      </c>
      <c r="E16" s="9">
        <v>20</v>
      </c>
      <c r="F16" s="9" t="s">
        <v>46</v>
      </c>
      <c r="K16" s="77">
        <v>130</v>
      </c>
      <c r="L16" s="77">
        <f t="shared" si="1"/>
        <v>130</v>
      </c>
      <c r="R16" s="138" t="s">
        <v>28</v>
      </c>
      <c r="S16" s="139" t="str">
        <f t="shared" si="0"/>
        <v>Electronics</v>
      </c>
      <c r="V16" s="96" t="s">
        <v>61</v>
      </c>
      <c r="W16" s="95"/>
      <c r="X16" s="96" t="s">
        <v>28</v>
      </c>
      <c r="Z16" s="105" t="str">
        <f t="shared" si="2"/>
        <v>Laptop</v>
      </c>
      <c r="AA16" s="94" t="s">
        <v>28</v>
      </c>
      <c r="AC16" s="60">
        <v>950</v>
      </c>
      <c r="AD16" s="68">
        <v>950</v>
      </c>
      <c r="AG16" s="89">
        <v>45825</v>
      </c>
      <c r="AH16" s="57" t="str">
        <f>TEXT(Dataset!AG16,"DD-MM-YYYY")</f>
        <v>17-06-2025</v>
      </c>
      <c r="AJ16" s="92"/>
      <c r="AL16" s="93"/>
    </row>
    <row r="17" spans="1:38" ht="15.75" customHeight="1" x14ac:dyDescent="0.2">
      <c r="A17" s="10" t="s">
        <v>72</v>
      </c>
      <c r="B17" s="10" t="s">
        <v>73</v>
      </c>
      <c r="C17" s="10" t="s">
        <v>74</v>
      </c>
      <c r="D17" s="10">
        <v>50</v>
      </c>
      <c r="E17" s="10">
        <v>35</v>
      </c>
      <c r="F17" s="10" t="s">
        <v>75</v>
      </c>
      <c r="K17" s="77">
        <v>950</v>
      </c>
      <c r="L17" s="77">
        <f t="shared" si="1"/>
        <v>950</v>
      </c>
      <c r="R17" s="140"/>
      <c r="S17" s="143" t="str">
        <f t="shared" si="0"/>
        <v>Unknown</v>
      </c>
      <c r="V17" s="96" t="s">
        <v>30</v>
      </c>
      <c r="W17" s="95"/>
      <c r="X17" s="101" t="s">
        <v>123</v>
      </c>
      <c r="Z17" s="105" t="str">
        <f t="shared" si="2"/>
        <v>Sneakers</v>
      </c>
      <c r="AA17" s="94" t="s">
        <v>123</v>
      </c>
      <c r="AC17" s="61">
        <v>90</v>
      </c>
      <c r="AD17" s="69">
        <v>90</v>
      </c>
      <c r="AG17" s="89">
        <v>45986</v>
      </c>
      <c r="AH17" s="57" t="str">
        <f>TEXT(Dataset!AG17,"DD-MM-YYYY")</f>
        <v>25-11-2025</v>
      </c>
      <c r="AJ17" s="92"/>
      <c r="AL17" s="93"/>
    </row>
    <row r="18" spans="1:38" ht="15.75" customHeight="1" x14ac:dyDescent="0.2">
      <c r="A18" s="9" t="s">
        <v>76</v>
      </c>
      <c r="B18" s="9" t="s">
        <v>67</v>
      </c>
      <c r="C18" s="9" t="s">
        <v>77</v>
      </c>
      <c r="D18" s="9">
        <v>160</v>
      </c>
      <c r="E18" s="9">
        <v>15</v>
      </c>
      <c r="F18" s="9" t="s">
        <v>46</v>
      </c>
      <c r="K18" s="77">
        <v>90</v>
      </c>
      <c r="L18" s="77">
        <f t="shared" si="1"/>
        <v>90</v>
      </c>
      <c r="R18" s="138"/>
      <c r="S18" s="142" t="str">
        <f t="shared" si="0"/>
        <v>Unknown</v>
      </c>
      <c r="V18" s="96" t="s">
        <v>34</v>
      </c>
      <c r="W18" s="95"/>
      <c r="X18" s="101" t="s">
        <v>123</v>
      </c>
      <c r="Z18" s="105" t="str">
        <f t="shared" si="2"/>
        <v>Coffee Maker</v>
      </c>
      <c r="AA18" s="94" t="s">
        <v>123</v>
      </c>
      <c r="AC18" s="60">
        <v>120</v>
      </c>
      <c r="AD18" s="68">
        <v>120</v>
      </c>
      <c r="AG18" s="89">
        <v>45999</v>
      </c>
      <c r="AH18" s="57" t="str">
        <f>TEXT(Dataset!AG18,"DD-MM-YYYY")</f>
        <v>08-12-2025</v>
      </c>
      <c r="AJ18" s="92"/>
      <c r="AL18" s="93"/>
    </row>
    <row r="19" spans="1:38" ht="15.75" customHeight="1" x14ac:dyDescent="0.2">
      <c r="A19" s="10" t="s">
        <v>78</v>
      </c>
      <c r="B19" s="10" t="s">
        <v>26</v>
      </c>
      <c r="C19" s="10" t="s">
        <v>79</v>
      </c>
      <c r="D19" s="10">
        <v>980</v>
      </c>
      <c r="E19" s="10">
        <v>10</v>
      </c>
      <c r="F19" s="10" t="s">
        <v>28</v>
      </c>
      <c r="K19" s="77">
        <v>120</v>
      </c>
      <c r="L19" s="77">
        <f t="shared" si="1"/>
        <v>120</v>
      </c>
      <c r="R19" s="140" t="s">
        <v>46</v>
      </c>
      <c r="S19" s="141" t="str">
        <f t="shared" si="0"/>
        <v>Electroni</v>
      </c>
      <c r="V19" s="96" t="s">
        <v>67</v>
      </c>
      <c r="W19" s="95"/>
      <c r="X19" s="103" t="s">
        <v>46</v>
      </c>
      <c r="Z19" s="105" t="str">
        <f t="shared" si="2"/>
        <v>Smartwatch</v>
      </c>
      <c r="AA19" s="94" t="s">
        <v>28</v>
      </c>
      <c r="AC19" s="61">
        <v>150</v>
      </c>
      <c r="AD19" s="69">
        <v>150</v>
      </c>
      <c r="AG19" s="89">
        <v>45706</v>
      </c>
      <c r="AH19" s="57" t="str">
        <f>TEXT(Dataset!AG19,"DD-MM-YYYY")</f>
        <v>18-02-2025</v>
      </c>
      <c r="AJ19" s="92"/>
      <c r="AL19" s="93"/>
    </row>
    <row r="20" spans="1:38" ht="15.75" customHeight="1" x14ac:dyDescent="0.2">
      <c r="A20" s="9" t="s">
        <v>80</v>
      </c>
      <c r="B20" s="9" t="s">
        <v>81</v>
      </c>
      <c r="C20" s="9" t="s">
        <v>82</v>
      </c>
      <c r="D20" s="9">
        <v>150</v>
      </c>
      <c r="E20" s="9">
        <v>15</v>
      </c>
      <c r="F20" s="9" t="s">
        <v>32</v>
      </c>
      <c r="K20" s="77">
        <v>150</v>
      </c>
      <c r="L20" s="77">
        <f t="shared" si="1"/>
        <v>150</v>
      </c>
      <c r="R20" s="138" t="s">
        <v>46</v>
      </c>
      <c r="S20" s="139" t="str">
        <f t="shared" si="0"/>
        <v>Electroni</v>
      </c>
      <c r="V20" s="99" t="s">
        <v>70</v>
      </c>
      <c r="W20" s="95"/>
      <c r="X20" s="103" t="s">
        <v>46</v>
      </c>
      <c r="Z20" s="105" t="str">
        <f t="shared" si="2"/>
        <v>Headphones</v>
      </c>
      <c r="AA20" s="94" t="s">
        <v>28</v>
      </c>
      <c r="AC20" s="60">
        <v>250</v>
      </c>
      <c r="AD20" s="68">
        <v>250</v>
      </c>
      <c r="AG20" s="89">
        <v>45763</v>
      </c>
      <c r="AH20" s="57" t="str">
        <f>TEXT(Dataset!AG20,"DD-MM-YYYY")</f>
        <v>16-04-2025</v>
      </c>
      <c r="AJ20" s="92"/>
      <c r="AL20" s="93"/>
    </row>
    <row r="21" spans="1:38" ht="15.75" customHeight="1" x14ac:dyDescent="0.2">
      <c r="A21" s="10" t="s">
        <v>83</v>
      </c>
      <c r="B21" s="10" t="s">
        <v>84</v>
      </c>
      <c r="C21" s="10" t="s">
        <v>85</v>
      </c>
      <c r="D21" s="10"/>
      <c r="E21" s="10">
        <v>10</v>
      </c>
      <c r="F21" s="10" t="s">
        <v>59</v>
      </c>
      <c r="K21" s="77">
        <v>250</v>
      </c>
      <c r="L21" s="77">
        <f t="shared" si="1"/>
        <v>250</v>
      </c>
      <c r="R21" s="140" t="s">
        <v>75</v>
      </c>
      <c r="S21" s="141" t="str">
        <f t="shared" si="0"/>
        <v>Accessories</v>
      </c>
      <c r="V21" s="96" t="s">
        <v>73</v>
      </c>
      <c r="W21" s="95"/>
      <c r="X21" s="96" t="s">
        <v>75</v>
      </c>
      <c r="Z21" s="105" t="str">
        <f t="shared" si="2"/>
        <v>Laptop Bag</v>
      </c>
      <c r="AA21" s="94" t="s">
        <v>75</v>
      </c>
      <c r="AC21" s="61">
        <v>50</v>
      </c>
      <c r="AD21" s="69">
        <v>50</v>
      </c>
      <c r="AG21" s="89">
        <v>45890</v>
      </c>
      <c r="AH21" s="57" t="str">
        <f>TEXT(Dataset!AG21,"DD-MM-YYYY")</f>
        <v>21-08-2025</v>
      </c>
      <c r="AJ21" s="92"/>
      <c r="AL21" s="93"/>
    </row>
    <row r="22" spans="1:38" ht="15.75" customHeight="1" x14ac:dyDescent="0.2">
      <c r="A22" s="9" t="s">
        <v>86</v>
      </c>
      <c r="B22" s="9" t="s">
        <v>87</v>
      </c>
      <c r="C22" s="9" t="s">
        <v>88</v>
      </c>
      <c r="D22" s="9">
        <v>700</v>
      </c>
      <c r="E22" s="9">
        <v>50</v>
      </c>
      <c r="F22" s="9" t="s">
        <v>28</v>
      </c>
      <c r="K22" s="77">
        <v>50</v>
      </c>
      <c r="L22" s="77">
        <f t="shared" si="1"/>
        <v>50</v>
      </c>
      <c r="R22" s="138" t="s">
        <v>46</v>
      </c>
      <c r="S22" s="139" t="str">
        <f t="shared" si="0"/>
        <v>Electroni</v>
      </c>
      <c r="V22" s="96" t="s">
        <v>67</v>
      </c>
      <c r="W22" s="95"/>
      <c r="X22" s="102" t="s">
        <v>46</v>
      </c>
      <c r="Z22" s="105" t="str">
        <f t="shared" si="2"/>
        <v>Smartwatch</v>
      </c>
      <c r="AA22" s="94" t="s">
        <v>28</v>
      </c>
      <c r="AC22" s="60">
        <v>160</v>
      </c>
      <c r="AD22" s="68">
        <v>160</v>
      </c>
      <c r="AG22" s="89">
        <v>45889</v>
      </c>
      <c r="AH22" s="57" t="str">
        <f>TEXT(Dataset!AG22,"DD-MM-YYYY")</f>
        <v>20-08-2025</v>
      </c>
      <c r="AJ22" s="92"/>
      <c r="AL22" s="93"/>
    </row>
    <row r="23" spans="1:38" ht="15.75" customHeight="1" x14ac:dyDescent="0.2">
      <c r="A23" s="10" t="s">
        <v>89</v>
      </c>
      <c r="B23" s="10" t="s">
        <v>90</v>
      </c>
      <c r="C23" s="10" t="s">
        <v>91</v>
      </c>
      <c r="D23" s="10">
        <v>80</v>
      </c>
      <c r="E23" s="10">
        <v>20</v>
      </c>
      <c r="F23" s="10" t="s">
        <v>36</v>
      </c>
      <c r="K23" s="77">
        <v>160</v>
      </c>
      <c r="L23" s="77">
        <f t="shared" si="1"/>
        <v>160</v>
      </c>
      <c r="R23" s="140" t="s">
        <v>28</v>
      </c>
      <c r="S23" s="141" t="str">
        <f t="shared" si="0"/>
        <v>Electronics</v>
      </c>
      <c r="V23" s="99" t="s">
        <v>26</v>
      </c>
      <c r="W23" s="95"/>
      <c r="X23" s="96" t="s">
        <v>28</v>
      </c>
      <c r="Z23" s="105" t="str">
        <f t="shared" si="2"/>
        <v>Laptop</v>
      </c>
      <c r="AA23" s="94" t="s">
        <v>28</v>
      </c>
      <c r="AC23" s="61">
        <v>980</v>
      </c>
      <c r="AD23" s="69">
        <v>980</v>
      </c>
      <c r="AG23" s="89">
        <v>45684</v>
      </c>
      <c r="AH23" s="57" t="str">
        <f>TEXT(Dataset!AG23,"DD-MM-YYYY")</f>
        <v>27-01-2025</v>
      </c>
      <c r="AJ23" s="92"/>
      <c r="AL23" s="93"/>
    </row>
    <row r="24" spans="1:38" ht="15.75" customHeight="1" x14ac:dyDescent="0.2">
      <c r="A24" s="9" t="s">
        <v>92</v>
      </c>
      <c r="B24" s="9" t="s">
        <v>93</v>
      </c>
      <c r="C24" s="9" t="s">
        <v>94</v>
      </c>
      <c r="D24" s="9">
        <v>150</v>
      </c>
      <c r="E24" s="9">
        <v>30</v>
      </c>
      <c r="F24" s="9"/>
      <c r="K24" s="77">
        <v>980</v>
      </c>
      <c r="L24" s="77">
        <f t="shared" si="1"/>
        <v>980</v>
      </c>
      <c r="R24" s="138" t="s">
        <v>32</v>
      </c>
      <c r="S24" s="139" t="str">
        <f t="shared" si="0"/>
        <v>Fashion</v>
      </c>
      <c r="V24" s="96" t="s">
        <v>81</v>
      </c>
      <c r="W24" s="95"/>
      <c r="X24" s="96" t="s">
        <v>32</v>
      </c>
      <c r="Z24" s="105" t="str">
        <f t="shared" si="2"/>
        <v>Sunglasses</v>
      </c>
      <c r="AA24" s="94" t="s">
        <v>32</v>
      </c>
      <c r="AC24" s="60">
        <v>150</v>
      </c>
      <c r="AD24" s="68">
        <v>150</v>
      </c>
      <c r="AG24" s="89">
        <v>45717</v>
      </c>
      <c r="AH24" s="57" t="str">
        <f>TEXT(Dataset!AG24,"DD-MM-YYYY")</f>
        <v>01-03-2025</v>
      </c>
      <c r="AJ24" s="92"/>
      <c r="AL24" s="93"/>
    </row>
    <row r="25" spans="1:38" ht="15.75" customHeight="1" x14ac:dyDescent="0.2">
      <c r="A25" s="9" t="s">
        <v>95</v>
      </c>
      <c r="B25" s="9" t="s">
        <v>96</v>
      </c>
      <c r="C25" s="9" t="s">
        <v>97</v>
      </c>
      <c r="D25" s="9">
        <v>800</v>
      </c>
      <c r="E25" s="9">
        <v>45</v>
      </c>
      <c r="F25" s="9" t="s">
        <v>28</v>
      </c>
      <c r="K25" s="77">
        <v>150</v>
      </c>
      <c r="L25" s="77">
        <f t="shared" si="1"/>
        <v>150</v>
      </c>
      <c r="R25" s="140" t="s">
        <v>59</v>
      </c>
      <c r="S25" s="141" t="str">
        <f t="shared" si="0"/>
        <v>Outdoor</v>
      </c>
      <c r="V25" s="96" t="s">
        <v>84</v>
      </c>
      <c r="W25" s="95"/>
      <c r="X25" s="96" t="s">
        <v>59</v>
      </c>
      <c r="Z25" s="105" t="str">
        <f t="shared" si="2"/>
        <v>Camping Tent</v>
      </c>
      <c r="AA25" s="94" t="s">
        <v>59</v>
      </c>
      <c r="AC25" s="62">
        <v>130</v>
      </c>
      <c r="AD25" s="70">
        <v>130</v>
      </c>
      <c r="AG25" s="89">
        <v>45883</v>
      </c>
      <c r="AH25" s="57" t="str">
        <f>TEXT(Dataset!AG25,"DD-MM-YYYY")</f>
        <v>14-08-2025</v>
      </c>
      <c r="AJ25" s="92"/>
      <c r="AL25" s="93"/>
    </row>
    <row r="26" spans="1:38" ht="15.75" customHeight="1" x14ac:dyDescent="0.2">
      <c r="A26" s="10" t="s">
        <v>98</v>
      </c>
      <c r="B26" s="10" t="s">
        <v>81</v>
      </c>
      <c r="C26" s="10" t="s">
        <v>99</v>
      </c>
      <c r="D26" s="10"/>
      <c r="E26" s="10">
        <v>25</v>
      </c>
      <c r="F26" s="10" t="s">
        <v>32</v>
      </c>
      <c r="K26" s="78"/>
      <c r="L26" s="78">
        <f t="shared" si="1"/>
        <v>130</v>
      </c>
      <c r="R26" s="138" t="s">
        <v>28</v>
      </c>
      <c r="S26" s="139" t="str">
        <f t="shared" si="0"/>
        <v>Electronics</v>
      </c>
      <c r="V26" s="96" t="s">
        <v>87</v>
      </c>
      <c r="W26" s="95"/>
      <c r="X26" s="96" t="s">
        <v>28</v>
      </c>
      <c r="Z26" s="105" t="str">
        <f t="shared" si="2"/>
        <v>Camera</v>
      </c>
      <c r="AA26" s="94" t="s">
        <v>28</v>
      </c>
      <c r="AC26" s="60">
        <v>700</v>
      </c>
      <c r="AD26" s="68">
        <v>700</v>
      </c>
      <c r="AG26" s="89">
        <v>45791</v>
      </c>
      <c r="AH26" s="57" t="str">
        <f>TEXT(Dataset!AG26,"DD-MM-YYYY")</f>
        <v>14-05-2025</v>
      </c>
      <c r="AJ26" s="92"/>
      <c r="AL26" s="93"/>
    </row>
    <row r="27" spans="1:38" ht="15.75" customHeight="1" x14ac:dyDescent="0.2">
      <c r="A27" s="9" t="s">
        <v>100</v>
      </c>
      <c r="B27" s="9" t="s">
        <v>51</v>
      </c>
      <c r="C27" s="9" t="s">
        <v>101</v>
      </c>
      <c r="D27" s="9">
        <v>400</v>
      </c>
      <c r="E27" s="9">
        <v>40</v>
      </c>
      <c r="F27" s="9" t="s">
        <v>36</v>
      </c>
      <c r="K27" s="77">
        <v>700</v>
      </c>
      <c r="L27" s="77">
        <f t="shared" si="1"/>
        <v>700</v>
      </c>
      <c r="R27" s="140" t="s">
        <v>36</v>
      </c>
      <c r="S27" s="141" t="str">
        <f t="shared" si="0"/>
        <v>Kitchen</v>
      </c>
      <c r="V27" s="96" t="s">
        <v>90</v>
      </c>
      <c r="W27" s="95"/>
      <c r="X27" s="96" t="s">
        <v>36</v>
      </c>
      <c r="Z27" s="105" t="str">
        <f t="shared" si="2"/>
        <v>Microwave</v>
      </c>
      <c r="AA27" s="94" t="s">
        <v>36</v>
      </c>
      <c r="AC27" s="61">
        <v>80</v>
      </c>
      <c r="AD27" s="69">
        <v>80</v>
      </c>
      <c r="AG27" s="89">
        <v>45666</v>
      </c>
      <c r="AH27" s="57" t="str">
        <f>TEXT(Dataset!AG27,"DD-MM-YYYY")</f>
        <v>09-01-2025</v>
      </c>
      <c r="AJ27" s="92"/>
      <c r="AL27" s="93"/>
    </row>
    <row r="28" spans="1:38" ht="15.75" customHeight="1" x14ac:dyDescent="0.2">
      <c r="A28" s="9" t="s">
        <v>102</v>
      </c>
      <c r="B28" s="9" t="s">
        <v>103</v>
      </c>
      <c r="C28" s="9" t="s">
        <v>104</v>
      </c>
      <c r="D28" s="9">
        <v>60</v>
      </c>
      <c r="E28" s="9">
        <v>30</v>
      </c>
      <c r="F28" s="9" t="s">
        <v>32</v>
      </c>
      <c r="K28" s="77">
        <v>80</v>
      </c>
      <c r="L28" s="77">
        <f t="shared" si="1"/>
        <v>80</v>
      </c>
      <c r="R28" s="138"/>
      <c r="S28" s="142" t="str">
        <f t="shared" si="0"/>
        <v>Unknown</v>
      </c>
      <c r="V28" s="96" t="s">
        <v>93</v>
      </c>
      <c r="W28" s="95"/>
      <c r="X28" s="101" t="s">
        <v>123</v>
      </c>
      <c r="Z28" s="105" t="str">
        <f t="shared" si="2"/>
        <v>Fitness Tracker</v>
      </c>
      <c r="AA28" s="94" t="s">
        <v>123</v>
      </c>
      <c r="AC28" s="60">
        <v>150</v>
      </c>
      <c r="AD28" s="68">
        <v>150</v>
      </c>
      <c r="AG28" s="89">
        <v>45857</v>
      </c>
      <c r="AH28" s="57" t="str">
        <f>TEXT(Dataset!AG28,"DD-MM-YYYY")</f>
        <v>19-07-2025</v>
      </c>
      <c r="AJ28" s="92"/>
      <c r="AL28" s="93"/>
    </row>
    <row r="29" spans="1:38" ht="15.75" customHeight="1" x14ac:dyDescent="0.2">
      <c r="A29" s="10" t="s">
        <v>105</v>
      </c>
      <c r="B29" s="10" t="s">
        <v>106</v>
      </c>
      <c r="C29" s="10" t="s">
        <v>107</v>
      </c>
      <c r="D29" s="10">
        <v>40</v>
      </c>
      <c r="E29" s="10">
        <v>10</v>
      </c>
      <c r="F29" s="10" t="s">
        <v>36</v>
      </c>
      <c r="K29" s="77">
        <v>150</v>
      </c>
      <c r="L29" s="77">
        <f t="shared" si="1"/>
        <v>150</v>
      </c>
      <c r="R29" s="138" t="s">
        <v>28</v>
      </c>
      <c r="S29" s="139" t="str">
        <f t="shared" si="0"/>
        <v>Electronics</v>
      </c>
      <c r="V29" s="96" t="s">
        <v>96</v>
      </c>
      <c r="W29" s="95"/>
      <c r="X29" s="96" t="s">
        <v>28</v>
      </c>
      <c r="Z29" s="105" t="str">
        <f t="shared" si="2"/>
        <v>Smartphone</v>
      </c>
      <c r="AA29" s="94" t="s">
        <v>28</v>
      </c>
      <c r="AC29" s="63">
        <v>800</v>
      </c>
      <c r="AD29" s="71">
        <v>800</v>
      </c>
      <c r="AG29" s="89">
        <v>45929</v>
      </c>
      <c r="AH29" s="57" t="str">
        <f>TEXT(Dataset!AG29,"DD-MM-YYYY")</f>
        <v>29-09-2025</v>
      </c>
      <c r="AJ29" s="92"/>
      <c r="AL29" s="93"/>
    </row>
    <row r="30" spans="1:38" ht="15.75" customHeight="1" x14ac:dyDescent="0.2">
      <c r="A30" s="9" t="s">
        <v>108</v>
      </c>
      <c r="B30" s="9" t="s">
        <v>93</v>
      </c>
      <c r="C30" s="9" t="s">
        <v>109</v>
      </c>
      <c r="D30" s="9">
        <v>130</v>
      </c>
      <c r="E30" s="9">
        <v>5</v>
      </c>
      <c r="F30" s="9" t="s">
        <v>28</v>
      </c>
      <c r="K30" s="77">
        <v>800</v>
      </c>
      <c r="L30" s="77">
        <f t="shared" si="1"/>
        <v>800</v>
      </c>
      <c r="R30" s="140" t="s">
        <v>32</v>
      </c>
      <c r="S30" s="141" t="str">
        <f t="shared" si="0"/>
        <v>Fashion</v>
      </c>
      <c r="V30" s="96" t="s">
        <v>81</v>
      </c>
      <c r="W30" s="95"/>
      <c r="X30" s="96" t="s">
        <v>32</v>
      </c>
      <c r="Z30" s="105" t="str">
        <f t="shared" si="2"/>
        <v>Sunglasses</v>
      </c>
      <c r="AA30" s="94" t="s">
        <v>32</v>
      </c>
      <c r="AC30" s="62">
        <v>74</v>
      </c>
      <c r="AD30" s="70">
        <v>74</v>
      </c>
      <c r="AG30" s="89">
        <v>45811</v>
      </c>
      <c r="AH30" s="57" t="str">
        <f>TEXT(Dataset!AG30,"DD-MM-YYYY")</f>
        <v>03-06-2025</v>
      </c>
      <c r="AJ30" s="92"/>
      <c r="AL30" s="93"/>
    </row>
    <row r="31" spans="1:38" ht="15.75" customHeight="1" x14ac:dyDescent="0.2">
      <c r="A31" s="10" t="s">
        <v>110</v>
      </c>
      <c r="B31" s="10" t="s">
        <v>111</v>
      </c>
      <c r="C31" s="10" t="s">
        <v>112</v>
      </c>
      <c r="D31" s="10">
        <v>50</v>
      </c>
      <c r="E31" s="10">
        <v>50</v>
      </c>
      <c r="F31" s="10" t="s">
        <v>32</v>
      </c>
      <c r="K31" s="78"/>
      <c r="L31" s="78">
        <f t="shared" si="1"/>
        <v>74</v>
      </c>
      <c r="R31" s="138" t="s">
        <v>36</v>
      </c>
      <c r="S31" s="139" t="str">
        <f t="shared" si="0"/>
        <v>Kitchen</v>
      </c>
      <c r="V31" s="96" t="s">
        <v>51</v>
      </c>
      <c r="W31" s="95"/>
      <c r="X31" s="96" t="s">
        <v>36</v>
      </c>
      <c r="Z31" s="105" t="str">
        <f t="shared" si="2"/>
        <v>Blender</v>
      </c>
      <c r="AA31" s="94" t="s">
        <v>36</v>
      </c>
      <c r="AC31" s="63">
        <v>400</v>
      </c>
      <c r="AD31" s="71">
        <v>400</v>
      </c>
      <c r="AG31" s="89">
        <v>45849</v>
      </c>
      <c r="AH31" s="57" t="str">
        <f>TEXT(Dataset!AG31,"DD-MM-YYYY")</f>
        <v>11-07-2025</v>
      </c>
      <c r="AJ31" s="92"/>
      <c r="AL31" s="93"/>
    </row>
    <row r="32" spans="1:38" ht="15.75" customHeight="1" x14ac:dyDescent="0.2">
      <c r="A32" s="10" t="s">
        <v>113</v>
      </c>
      <c r="B32" s="10" t="s">
        <v>114</v>
      </c>
      <c r="C32" s="10" t="s">
        <v>115</v>
      </c>
      <c r="D32" s="10">
        <v>100</v>
      </c>
      <c r="E32" s="10">
        <v>20</v>
      </c>
      <c r="F32" s="10" t="s">
        <v>75</v>
      </c>
      <c r="K32" s="77">
        <v>400</v>
      </c>
      <c r="L32" s="77">
        <f t="shared" si="1"/>
        <v>400</v>
      </c>
      <c r="R32" s="138" t="s">
        <v>32</v>
      </c>
      <c r="S32" s="139" t="str">
        <f t="shared" si="0"/>
        <v>Fashion</v>
      </c>
      <c r="V32" s="96" t="s">
        <v>103</v>
      </c>
      <c r="W32" s="95"/>
      <c r="X32" s="96" t="s">
        <v>32</v>
      </c>
      <c r="Z32" s="105" t="str">
        <f t="shared" si="2"/>
        <v>Dress</v>
      </c>
      <c r="AA32" s="94" t="s">
        <v>32</v>
      </c>
      <c r="AC32" s="60">
        <v>60</v>
      </c>
      <c r="AD32" s="68">
        <v>60</v>
      </c>
      <c r="AG32" s="89">
        <v>45723</v>
      </c>
      <c r="AH32" s="57" t="str">
        <f>TEXT(Dataset!AG32,"DD-MM-YYYY")</f>
        <v>07-03-2025</v>
      </c>
      <c r="AJ32" s="92"/>
      <c r="AL32" s="93"/>
    </row>
    <row r="33" spans="9:38" ht="15.75" customHeight="1" x14ac:dyDescent="0.2">
      <c r="K33" s="77">
        <v>60</v>
      </c>
      <c r="L33" s="77">
        <f t="shared" si="1"/>
        <v>60</v>
      </c>
      <c r="R33" s="140" t="s">
        <v>36</v>
      </c>
      <c r="S33" s="141" t="str">
        <f t="shared" si="0"/>
        <v>Kitchen</v>
      </c>
      <c r="V33" s="96" t="s">
        <v>106</v>
      </c>
      <c r="W33" s="95"/>
      <c r="X33" s="96" t="s">
        <v>36</v>
      </c>
      <c r="Z33" s="105" t="str">
        <f t="shared" si="2"/>
        <v>Toaster</v>
      </c>
      <c r="AA33" s="94" t="s">
        <v>36</v>
      </c>
      <c r="AC33" s="61">
        <v>40</v>
      </c>
      <c r="AD33" s="69">
        <v>40</v>
      </c>
      <c r="AG33" s="89">
        <v>45760</v>
      </c>
      <c r="AH33" s="57" t="str">
        <f>TEXT(Dataset!AG33,"DD-MM-YYYY")</f>
        <v>13-04-2025</v>
      </c>
      <c r="AJ33" s="92"/>
      <c r="AL33" s="93"/>
    </row>
    <row r="34" spans="9:38" ht="15.75" customHeight="1" x14ac:dyDescent="0.2">
      <c r="K34" s="77">
        <v>40</v>
      </c>
      <c r="L34" s="77">
        <f t="shared" si="1"/>
        <v>40</v>
      </c>
      <c r="R34" s="138" t="s">
        <v>28</v>
      </c>
      <c r="S34" s="139" t="str">
        <f t="shared" si="0"/>
        <v>Electronics</v>
      </c>
      <c r="V34" s="96" t="s">
        <v>93</v>
      </c>
      <c r="W34" s="95"/>
      <c r="X34" s="96" t="s">
        <v>28</v>
      </c>
      <c r="Z34" s="105" t="str">
        <f t="shared" si="2"/>
        <v>Fitness Tracker</v>
      </c>
      <c r="AA34" s="94" t="s">
        <v>28</v>
      </c>
      <c r="AC34" s="60">
        <v>130</v>
      </c>
      <c r="AD34" s="68">
        <v>130</v>
      </c>
      <c r="AG34" s="89">
        <v>45801</v>
      </c>
      <c r="AH34" s="57" t="str">
        <f>TEXT(Dataset!AG34,"DD-MM-YYYY")</f>
        <v>24-05-2025</v>
      </c>
      <c r="AJ34" s="92"/>
      <c r="AL34" s="93"/>
    </row>
    <row r="35" spans="9:38" ht="15.75" customHeight="1" x14ac:dyDescent="0.2">
      <c r="K35" s="77">
        <v>130</v>
      </c>
      <c r="L35" s="77">
        <f t="shared" si="1"/>
        <v>130</v>
      </c>
      <c r="R35" s="140" t="s">
        <v>32</v>
      </c>
      <c r="S35" s="141" t="str">
        <f t="shared" si="0"/>
        <v>Fashion</v>
      </c>
      <c r="V35" s="96" t="s">
        <v>111</v>
      </c>
      <c r="W35" s="95"/>
      <c r="X35" s="96" t="s">
        <v>32</v>
      </c>
      <c r="Z35" s="105" t="str">
        <f t="shared" si="2"/>
        <v>Jeans</v>
      </c>
      <c r="AA35" s="94" t="s">
        <v>32</v>
      </c>
      <c r="AC35" s="61">
        <v>50</v>
      </c>
      <c r="AD35" s="69">
        <v>50</v>
      </c>
      <c r="AG35" s="89">
        <v>45993</v>
      </c>
      <c r="AH35" s="57" t="str">
        <f>TEXT(Dataset!AG35,"DD-MM-YYYY")</f>
        <v>02-12-2025</v>
      </c>
      <c r="AJ35" s="92"/>
      <c r="AL35" s="93"/>
    </row>
    <row r="36" spans="9:38" ht="15.75" customHeight="1" thickBot="1" x14ac:dyDescent="0.25">
      <c r="K36" s="77">
        <v>50</v>
      </c>
      <c r="L36" s="77">
        <f t="shared" si="1"/>
        <v>50</v>
      </c>
      <c r="R36" s="144" t="s">
        <v>75</v>
      </c>
      <c r="S36" s="145" t="str">
        <f t="shared" si="0"/>
        <v>Accessories</v>
      </c>
      <c r="V36" s="97" t="s">
        <v>114</v>
      </c>
      <c r="W36" s="95"/>
      <c r="X36" s="97" t="s">
        <v>75</v>
      </c>
      <c r="Z36" s="105" t="str">
        <f t="shared" si="2"/>
        <v>Watch</v>
      </c>
      <c r="AA36" s="94" t="s">
        <v>75</v>
      </c>
      <c r="AC36" s="61">
        <v>100</v>
      </c>
      <c r="AD36" s="69">
        <v>100</v>
      </c>
      <c r="AG36" s="89">
        <v>45847</v>
      </c>
      <c r="AH36" s="57" t="str">
        <f>TEXT(Dataset!AG36,"DD-MM-YYYY")</f>
        <v>09-07-2025</v>
      </c>
    </row>
    <row r="37" spans="9:38" ht="15.75" customHeight="1" x14ac:dyDescent="0.2">
      <c r="K37" s="77">
        <v>100</v>
      </c>
      <c r="L37" s="77">
        <f t="shared" si="1"/>
        <v>100</v>
      </c>
      <c r="V37" s="92"/>
      <c r="W37" s="95"/>
      <c r="Z37" s="86"/>
      <c r="AC37" s="47"/>
      <c r="AD37" s="47"/>
    </row>
    <row r="38" spans="9:38" ht="15.75" customHeight="1" x14ac:dyDescent="0.2"/>
    <row r="39" spans="9:38" ht="15.75" customHeight="1" thickBot="1" x14ac:dyDescent="0.25"/>
    <row r="40" spans="9:38" ht="15.75" customHeight="1" x14ac:dyDescent="0.2">
      <c r="K40" s="108" t="s">
        <v>125</v>
      </c>
      <c r="L40" s="109"/>
      <c r="M40" s="109"/>
      <c r="N40" s="109"/>
      <c r="O40" s="109"/>
      <c r="P40" s="109"/>
      <c r="Q40" s="109"/>
      <c r="R40" s="110"/>
      <c r="X40" s="136"/>
      <c r="Y40" s="108" t="s">
        <v>128</v>
      </c>
      <c r="Z40" s="109"/>
      <c r="AA40" s="109"/>
      <c r="AB40" s="110"/>
      <c r="AF40" s="108" t="s">
        <v>146</v>
      </c>
      <c r="AG40" s="109"/>
      <c r="AH40" s="109"/>
      <c r="AI40" s="109"/>
      <c r="AJ40" s="109"/>
      <c r="AK40" s="109"/>
      <c r="AL40" s="110"/>
    </row>
    <row r="41" spans="9:38" ht="15.75" customHeight="1" thickBot="1" x14ac:dyDescent="0.25">
      <c r="K41" s="111"/>
      <c r="L41" s="112"/>
      <c r="M41" s="112"/>
      <c r="N41" s="112"/>
      <c r="O41" s="112"/>
      <c r="P41" s="112"/>
      <c r="Q41" s="112"/>
      <c r="R41" s="113"/>
      <c r="X41" s="136"/>
      <c r="Y41" s="111"/>
      <c r="Z41" s="112"/>
      <c r="AA41" s="112"/>
      <c r="AB41" s="113"/>
      <c r="AF41" s="111"/>
      <c r="AG41" s="112"/>
      <c r="AH41" s="112"/>
      <c r="AI41" s="112"/>
      <c r="AJ41" s="112"/>
      <c r="AK41" s="112"/>
      <c r="AL41" s="113"/>
    </row>
    <row r="42" spans="9:38" ht="15.75" customHeight="1" thickBot="1" x14ac:dyDescent="0.25"/>
    <row r="43" spans="9:38" ht="15.75" customHeight="1" thickBot="1" x14ac:dyDescent="0.35">
      <c r="I43" s="23" t="s">
        <v>19</v>
      </c>
      <c r="J43" s="45" t="s">
        <v>20</v>
      </c>
      <c r="K43" s="45" t="s">
        <v>21</v>
      </c>
      <c r="L43" s="45" t="s">
        <v>22</v>
      </c>
      <c r="M43" s="45" t="s">
        <v>23</v>
      </c>
      <c r="N43" s="24" t="s">
        <v>24</v>
      </c>
      <c r="Q43" s="49" t="s">
        <v>19</v>
      </c>
      <c r="R43" s="46" t="s">
        <v>20</v>
      </c>
      <c r="S43" s="49" t="s">
        <v>21</v>
      </c>
      <c r="T43" s="49" t="s">
        <v>126</v>
      </c>
      <c r="U43" s="49" t="s">
        <v>23</v>
      </c>
      <c r="V43" s="54" t="s">
        <v>127</v>
      </c>
      <c r="X43" s="58" t="s">
        <v>19</v>
      </c>
      <c r="Y43" s="55" t="s">
        <v>129</v>
      </c>
      <c r="Z43" s="56" t="s">
        <v>130</v>
      </c>
      <c r="AB43" s="59" t="s">
        <v>20</v>
      </c>
      <c r="AC43" s="59" t="s">
        <v>21</v>
      </c>
      <c r="AD43" s="59" t="s">
        <v>143</v>
      </c>
    </row>
    <row r="44" spans="9:38" ht="15.75" customHeight="1" thickBot="1" x14ac:dyDescent="0.35">
      <c r="I44" s="11" t="s">
        <v>25</v>
      </c>
      <c r="J44" s="36" t="s">
        <v>26</v>
      </c>
      <c r="K44" s="36" t="s">
        <v>27</v>
      </c>
      <c r="L44" s="36">
        <v>1000</v>
      </c>
      <c r="M44" s="36">
        <v>30</v>
      </c>
      <c r="N44" s="12" t="s">
        <v>28</v>
      </c>
      <c r="Q44" s="50" t="s">
        <v>25</v>
      </c>
      <c r="R44" s="21" t="s">
        <v>61</v>
      </c>
      <c r="S44" s="72" t="s">
        <v>27</v>
      </c>
      <c r="T44" s="72">
        <v>1000</v>
      </c>
      <c r="U44" s="72">
        <v>30</v>
      </c>
      <c r="V44" s="47" t="s">
        <v>28</v>
      </c>
      <c r="X44" s="50" t="s">
        <v>25</v>
      </c>
      <c r="Y44" s="121">
        <v>45685</v>
      </c>
      <c r="Z44" s="127" t="s">
        <v>131</v>
      </c>
      <c r="AB44" s="129" t="s">
        <v>61</v>
      </c>
      <c r="AC44" s="130" t="s">
        <v>27</v>
      </c>
      <c r="AD44" s="131" t="str">
        <f>CONCATENATE(AB44," - ",AC44)</f>
        <v>Laptop - Dell</v>
      </c>
      <c r="AH44" s="81" t="s">
        <v>126</v>
      </c>
      <c r="AK44" s="85" t="s">
        <v>24</v>
      </c>
    </row>
    <row r="45" spans="9:38" ht="15.75" customHeight="1" x14ac:dyDescent="0.2">
      <c r="I45" s="13" t="s">
        <v>29</v>
      </c>
      <c r="J45" s="37" t="s">
        <v>30</v>
      </c>
      <c r="K45" s="37" t="s">
        <v>31</v>
      </c>
      <c r="L45" s="37">
        <v>80</v>
      </c>
      <c r="M45" s="37">
        <v>15</v>
      </c>
      <c r="N45" s="14" t="s">
        <v>32</v>
      </c>
      <c r="Q45" s="51" t="s">
        <v>29</v>
      </c>
      <c r="R45" s="22" t="s">
        <v>30</v>
      </c>
      <c r="S45" s="73" t="s">
        <v>31</v>
      </c>
      <c r="T45" s="73">
        <v>80</v>
      </c>
      <c r="U45" s="73">
        <v>15</v>
      </c>
      <c r="V45" s="47" t="s">
        <v>32</v>
      </c>
      <c r="X45" s="51" t="s">
        <v>29</v>
      </c>
      <c r="Y45" s="122">
        <v>45703</v>
      </c>
      <c r="Z45" s="127" t="s">
        <v>131</v>
      </c>
      <c r="AB45" s="132" t="s">
        <v>30</v>
      </c>
      <c r="AC45" s="47" t="s">
        <v>31</v>
      </c>
      <c r="AD45" s="65" t="str">
        <f t="shared" ref="AD45:AD74" si="3">CONCATENATE(AB45," - ",AC45)</f>
        <v>Sneakers - Nike</v>
      </c>
      <c r="AH45" s="82">
        <v>1000</v>
      </c>
      <c r="AK45" s="87" t="s">
        <v>28</v>
      </c>
    </row>
    <row r="46" spans="9:38" ht="15.75" customHeight="1" x14ac:dyDescent="0.2">
      <c r="I46" s="11" t="s">
        <v>33</v>
      </c>
      <c r="J46" s="36" t="s">
        <v>34</v>
      </c>
      <c r="K46" s="36" t="s">
        <v>35</v>
      </c>
      <c r="L46" s="36">
        <v>130</v>
      </c>
      <c r="M46" s="36">
        <v>40</v>
      </c>
      <c r="N46" s="12" t="s">
        <v>36</v>
      </c>
      <c r="Q46" s="52" t="s">
        <v>33</v>
      </c>
      <c r="R46" s="19" t="s">
        <v>34</v>
      </c>
      <c r="S46" s="74" t="s">
        <v>35</v>
      </c>
      <c r="T46" s="74">
        <v>130</v>
      </c>
      <c r="U46" s="74">
        <v>40</v>
      </c>
      <c r="V46" s="47" t="s">
        <v>36</v>
      </c>
      <c r="X46" s="52" t="s">
        <v>33</v>
      </c>
      <c r="Y46" s="123">
        <v>45719</v>
      </c>
      <c r="Z46" s="127" t="s">
        <v>131</v>
      </c>
      <c r="AB46" s="132" t="s">
        <v>34</v>
      </c>
      <c r="AC46" s="47" t="s">
        <v>35</v>
      </c>
      <c r="AD46" s="65" t="str">
        <f t="shared" si="3"/>
        <v>Coffee Maker - Keurig</v>
      </c>
      <c r="AH46" s="82">
        <v>80</v>
      </c>
      <c r="AK46" s="87" t="s">
        <v>32</v>
      </c>
    </row>
    <row r="47" spans="9:38" ht="15.75" customHeight="1" x14ac:dyDescent="0.2">
      <c r="I47" s="13" t="s">
        <v>37</v>
      </c>
      <c r="J47" s="37" t="s">
        <v>38</v>
      </c>
      <c r="K47" s="37" t="s">
        <v>39</v>
      </c>
      <c r="L47" s="37">
        <v>900</v>
      </c>
      <c r="M47" s="37">
        <v>25</v>
      </c>
      <c r="N47" s="14" t="s">
        <v>28</v>
      </c>
      <c r="Q47" s="51" t="s">
        <v>37</v>
      </c>
      <c r="R47" s="21" t="s">
        <v>96</v>
      </c>
      <c r="S47" s="73" t="s">
        <v>39</v>
      </c>
      <c r="T47" s="73">
        <v>900</v>
      </c>
      <c r="U47" s="73">
        <v>25</v>
      </c>
      <c r="V47" s="47" t="s">
        <v>28</v>
      </c>
      <c r="X47" s="51" t="s">
        <v>37</v>
      </c>
      <c r="Y47" s="122">
        <v>45758</v>
      </c>
      <c r="Z47" s="127" t="s">
        <v>131</v>
      </c>
      <c r="AB47" s="132" t="s">
        <v>96</v>
      </c>
      <c r="AC47" s="47" t="s">
        <v>39</v>
      </c>
      <c r="AD47" s="65" t="str">
        <f t="shared" si="3"/>
        <v>Smartphone - Samsung</v>
      </c>
      <c r="AH47" s="82">
        <v>130</v>
      </c>
      <c r="AK47" s="87" t="s">
        <v>36</v>
      </c>
    </row>
    <row r="48" spans="9:38" ht="15.75" customHeight="1" x14ac:dyDescent="0.2">
      <c r="I48" s="11" t="s">
        <v>40</v>
      </c>
      <c r="J48" s="36" t="s">
        <v>41</v>
      </c>
      <c r="K48" s="36" t="s">
        <v>42</v>
      </c>
      <c r="L48" s="36">
        <v>70</v>
      </c>
      <c r="M48" s="36">
        <v>20</v>
      </c>
      <c r="N48" s="12"/>
      <c r="Q48" s="52" t="s">
        <v>40</v>
      </c>
      <c r="R48" s="19" t="s">
        <v>41</v>
      </c>
      <c r="S48" s="74" t="s">
        <v>42</v>
      </c>
      <c r="T48" s="74">
        <v>70</v>
      </c>
      <c r="U48" s="74">
        <v>20</v>
      </c>
      <c r="V48" s="48" t="s">
        <v>123</v>
      </c>
      <c r="X48" s="52" t="s">
        <v>40</v>
      </c>
      <c r="Y48" s="123">
        <v>45799</v>
      </c>
      <c r="Z48" s="127" t="s">
        <v>131</v>
      </c>
      <c r="AB48" s="132" t="s">
        <v>41</v>
      </c>
      <c r="AC48" s="47" t="s">
        <v>42</v>
      </c>
      <c r="AD48" s="65" t="str">
        <f t="shared" si="3"/>
        <v>Backpack - North Face</v>
      </c>
      <c r="AH48" s="82">
        <v>900</v>
      </c>
      <c r="AK48" s="87" t="s">
        <v>28</v>
      </c>
    </row>
    <row r="49" spans="9:37" ht="15.75" customHeight="1" x14ac:dyDescent="0.2">
      <c r="I49" s="13" t="s">
        <v>43</v>
      </c>
      <c r="J49" s="37" t="s">
        <v>44</v>
      </c>
      <c r="K49" s="37" t="s">
        <v>45</v>
      </c>
      <c r="L49" s="37"/>
      <c r="M49" s="37">
        <v>45</v>
      </c>
      <c r="N49" s="14" t="s">
        <v>46</v>
      </c>
      <c r="Q49" s="51" t="s">
        <v>43</v>
      </c>
      <c r="R49" s="19" t="s">
        <v>44</v>
      </c>
      <c r="S49" s="73" t="s">
        <v>45</v>
      </c>
      <c r="T49" s="75">
        <v>187</v>
      </c>
      <c r="U49" s="73">
        <v>45</v>
      </c>
      <c r="V49" s="47" t="s">
        <v>28</v>
      </c>
      <c r="X49" s="51" t="s">
        <v>43</v>
      </c>
      <c r="Y49" s="122">
        <v>45815</v>
      </c>
      <c r="Z49" s="127" t="s">
        <v>132</v>
      </c>
      <c r="AB49" s="132" t="s">
        <v>44</v>
      </c>
      <c r="AC49" s="47" t="s">
        <v>45</v>
      </c>
      <c r="AD49" s="65" t="str">
        <f t="shared" si="3"/>
        <v>Headphones - Sony</v>
      </c>
      <c r="AH49" s="82">
        <v>70</v>
      </c>
      <c r="AK49" s="87" t="s">
        <v>123</v>
      </c>
    </row>
    <row r="50" spans="9:37" ht="15.75" customHeight="1" x14ac:dyDescent="0.2">
      <c r="I50" s="11" t="s">
        <v>47</v>
      </c>
      <c r="J50" s="36" t="s">
        <v>48</v>
      </c>
      <c r="K50" s="36" t="s">
        <v>49</v>
      </c>
      <c r="L50" s="36">
        <v>30</v>
      </c>
      <c r="M50" s="36">
        <v>5</v>
      </c>
      <c r="N50" s="12" t="s">
        <v>32</v>
      </c>
      <c r="Q50" s="52" t="s">
        <v>47</v>
      </c>
      <c r="R50" s="19" t="s">
        <v>124</v>
      </c>
      <c r="S50" s="74" t="s">
        <v>49</v>
      </c>
      <c r="T50" s="74">
        <v>30</v>
      </c>
      <c r="U50" s="74">
        <v>5</v>
      </c>
      <c r="V50" s="47" t="s">
        <v>32</v>
      </c>
      <c r="X50" s="52" t="s">
        <v>47</v>
      </c>
      <c r="Y50" s="123">
        <v>45857</v>
      </c>
      <c r="Z50" s="127" t="s">
        <v>132</v>
      </c>
      <c r="AB50" s="132" t="s">
        <v>124</v>
      </c>
      <c r="AC50" s="47" t="s">
        <v>49</v>
      </c>
      <c r="AD50" s="65" t="str">
        <f t="shared" si="3"/>
        <v>T-Shirt - Adidas</v>
      </c>
      <c r="AH50" s="83">
        <v>187</v>
      </c>
      <c r="AK50" s="87" t="s">
        <v>28</v>
      </c>
    </row>
    <row r="51" spans="9:37" ht="15.75" customHeight="1" x14ac:dyDescent="0.2">
      <c r="I51" s="13" t="s">
        <v>50</v>
      </c>
      <c r="J51" s="37" t="s">
        <v>51</v>
      </c>
      <c r="K51" s="37" t="s">
        <v>52</v>
      </c>
      <c r="L51" s="37">
        <v>90</v>
      </c>
      <c r="M51" s="37">
        <v>35</v>
      </c>
      <c r="N51" s="14" t="s">
        <v>36</v>
      </c>
      <c r="Q51" s="51" t="s">
        <v>50</v>
      </c>
      <c r="R51" s="19" t="s">
        <v>51</v>
      </c>
      <c r="S51" s="73" t="s">
        <v>52</v>
      </c>
      <c r="T51" s="73">
        <v>90</v>
      </c>
      <c r="U51" s="73">
        <v>35</v>
      </c>
      <c r="V51" s="47" t="s">
        <v>36</v>
      </c>
      <c r="X51" s="51" t="s">
        <v>50</v>
      </c>
      <c r="Y51" s="122">
        <v>45892</v>
      </c>
      <c r="Z51" s="127" t="s">
        <v>132</v>
      </c>
      <c r="AB51" s="132" t="s">
        <v>51</v>
      </c>
      <c r="AC51" s="47" t="s">
        <v>52</v>
      </c>
      <c r="AD51" s="65" t="str">
        <f t="shared" si="3"/>
        <v>Blender - Ninja</v>
      </c>
      <c r="AH51" s="82">
        <v>30</v>
      </c>
      <c r="AK51" s="87" t="s">
        <v>32</v>
      </c>
    </row>
    <row r="52" spans="9:37" ht="15.75" customHeight="1" x14ac:dyDescent="0.2">
      <c r="I52" s="11" t="s">
        <v>53</v>
      </c>
      <c r="J52" s="36" t="s">
        <v>54</v>
      </c>
      <c r="K52" s="36" t="s">
        <v>55</v>
      </c>
      <c r="L52" s="36">
        <v>500</v>
      </c>
      <c r="M52" s="36">
        <v>50</v>
      </c>
      <c r="N52" s="12" t="s">
        <v>28</v>
      </c>
      <c r="Q52" s="52" t="s">
        <v>53</v>
      </c>
      <c r="R52" s="19" t="s">
        <v>54</v>
      </c>
      <c r="S52" s="74" t="s">
        <v>55</v>
      </c>
      <c r="T52" s="74">
        <v>500</v>
      </c>
      <c r="U52" s="74">
        <v>50</v>
      </c>
      <c r="V52" s="47" t="s">
        <v>28</v>
      </c>
      <c r="X52" s="52" t="s">
        <v>53</v>
      </c>
      <c r="Y52" s="123">
        <v>45905</v>
      </c>
      <c r="Z52" s="127" t="s">
        <v>132</v>
      </c>
      <c r="AB52" s="132" t="s">
        <v>54</v>
      </c>
      <c r="AC52" s="47" t="s">
        <v>55</v>
      </c>
      <c r="AD52" s="65" t="str">
        <f t="shared" si="3"/>
        <v>Tablet - Apple</v>
      </c>
      <c r="AH52" s="82">
        <v>90</v>
      </c>
      <c r="AK52" s="87" t="s">
        <v>36</v>
      </c>
    </row>
    <row r="53" spans="9:37" ht="15.75" customHeight="1" x14ac:dyDescent="0.2">
      <c r="I53" s="13" t="s">
        <v>56</v>
      </c>
      <c r="J53" s="37" t="s">
        <v>57</v>
      </c>
      <c r="K53" s="37" t="s">
        <v>58</v>
      </c>
      <c r="L53" s="37">
        <v>130</v>
      </c>
      <c r="M53" s="37">
        <v>10</v>
      </c>
      <c r="N53" s="14" t="s">
        <v>59</v>
      </c>
      <c r="Q53" s="51" t="s">
        <v>56</v>
      </c>
      <c r="R53" s="19" t="s">
        <v>57</v>
      </c>
      <c r="S53" s="73" t="s">
        <v>58</v>
      </c>
      <c r="T53" s="73">
        <v>130</v>
      </c>
      <c r="U53" s="73">
        <v>10</v>
      </c>
      <c r="V53" s="47" t="s">
        <v>59</v>
      </c>
      <c r="X53" s="51" t="s">
        <v>56</v>
      </c>
      <c r="Y53" s="122">
        <v>45944</v>
      </c>
      <c r="Z53" s="127" t="s">
        <v>132</v>
      </c>
      <c r="AB53" s="132" t="s">
        <v>57</v>
      </c>
      <c r="AC53" s="47" t="s">
        <v>58</v>
      </c>
      <c r="AD53" s="65" t="str">
        <f t="shared" si="3"/>
        <v>Hiking Boots - Timberland</v>
      </c>
      <c r="AH53" s="82">
        <v>500</v>
      </c>
      <c r="AK53" s="87" t="s">
        <v>28</v>
      </c>
    </row>
    <row r="54" spans="9:37" ht="15.75" customHeight="1" x14ac:dyDescent="0.2">
      <c r="I54" s="40" t="s">
        <v>60</v>
      </c>
      <c r="J54" s="40" t="s">
        <v>61</v>
      </c>
      <c r="K54" s="40" t="s">
        <v>62</v>
      </c>
      <c r="L54" s="40">
        <v>950</v>
      </c>
      <c r="M54" s="40">
        <v>25</v>
      </c>
      <c r="N54" s="41" t="s">
        <v>28</v>
      </c>
      <c r="Q54" s="52" t="s">
        <v>60</v>
      </c>
      <c r="R54" s="19" t="s">
        <v>61</v>
      </c>
      <c r="S54" s="74" t="s">
        <v>62</v>
      </c>
      <c r="T54" s="74">
        <v>950</v>
      </c>
      <c r="U54" s="74">
        <v>25</v>
      </c>
      <c r="V54" s="47" t="s">
        <v>28</v>
      </c>
      <c r="X54" s="52" t="s">
        <v>60</v>
      </c>
      <c r="Y54" s="123">
        <v>45825</v>
      </c>
      <c r="Z54" s="127" t="s">
        <v>133</v>
      </c>
      <c r="AB54" s="132" t="s">
        <v>61</v>
      </c>
      <c r="AC54" s="47" t="s">
        <v>62</v>
      </c>
      <c r="AD54" s="65" t="str">
        <f t="shared" si="3"/>
        <v>Laptop - HP</v>
      </c>
      <c r="AH54" s="82">
        <v>130</v>
      </c>
      <c r="AK54" s="87" t="s">
        <v>59</v>
      </c>
    </row>
    <row r="55" spans="9:37" ht="15.75" customHeight="1" x14ac:dyDescent="0.2">
      <c r="I55" s="13" t="s">
        <v>63</v>
      </c>
      <c r="J55" s="37" t="s">
        <v>30</v>
      </c>
      <c r="K55" s="37" t="s">
        <v>49</v>
      </c>
      <c r="L55" s="37">
        <v>90</v>
      </c>
      <c r="M55" s="37">
        <v>40</v>
      </c>
      <c r="N55" s="14"/>
      <c r="Q55" s="51" t="s">
        <v>63</v>
      </c>
      <c r="R55" s="19" t="s">
        <v>30</v>
      </c>
      <c r="S55" s="73" t="s">
        <v>49</v>
      </c>
      <c r="T55" s="73">
        <v>90</v>
      </c>
      <c r="U55" s="73">
        <v>40</v>
      </c>
      <c r="V55" s="48" t="s">
        <v>123</v>
      </c>
      <c r="X55" s="51" t="s">
        <v>63</v>
      </c>
      <c r="Y55" s="122">
        <v>45986</v>
      </c>
      <c r="Z55" s="127" t="s">
        <v>134</v>
      </c>
      <c r="AB55" s="132" t="s">
        <v>30</v>
      </c>
      <c r="AC55" s="47" t="s">
        <v>49</v>
      </c>
      <c r="AD55" s="65" t="str">
        <f t="shared" si="3"/>
        <v>Sneakers - Adidas</v>
      </c>
      <c r="AH55" s="82">
        <v>950</v>
      </c>
      <c r="AK55" s="87" t="s">
        <v>28</v>
      </c>
    </row>
    <row r="56" spans="9:37" ht="15.75" customHeight="1" x14ac:dyDescent="0.2">
      <c r="I56" s="11" t="s">
        <v>64</v>
      </c>
      <c r="J56" s="36" t="s">
        <v>34</v>
      </c>
      <c r="K56" s="36" t="s">
        <v>65</v>
      </c>
      <c r="L56" s="36">
        <v>120</v>
      </c>
      <c r="M56" s="36">
        <v>35</v>
      </c>
      <c r="N56" s="12"/>
      <c r="Q56" s="52" t="s">
        <v>64</v>
      </c>
      <c r="R56" s="19" t="s">
        <v>34</v>
      </c>
      <c r="S56" s="74" t="s">
        <v>65</v>
      </c>
      <c r="T56" s="74">
        <v>120</v>
      </c>
      <c r="U56" s="74">
        <v>35</v>
      </c>
      <c r="V56" s="48" t="s">
        <v>123</v>
      </c>
      <c r="X56" s="52" t="s">
        <v>64</v>
      </c>
      <c r="Y56" s="123">
        <v>45999</v>
      </c>
      <c r="Z56" s="127" t="s">
        <v>135</v>
      </c>
      <c r="AB56" s="132" t="s">
        <v>34</v>
      </c>
      <c r="AC56" s="47" t="s">
        <v>65</v>
      </c>
      <c r="AD56" s="65" t="str">
        <f t="shared" si="3"/>
        <v>Coffee Maker - Nespresso</v>
      </c>
      <c r="AH56" s="82">
        <v>90</v>
      </c>
      <c r="AK56" s="87" t="s">
        <v>123</v>
      </c>
    </row>
    <row r="57" spans="9:37" ht="15.75" customHeight="1" x14ac:dyDescent="0.2">
      <c r="I57" s="13" t="s">
        <v>66</v>
      </c>
      <c r="J57" s="37" t="s">
        <v>67</v>
      </c>
      <c r="K57" s="37" t="s">
        <v>68</v>
      </c>
      <c r="L57" s="37">
        <v>150</v>
      </c>
      <c r="M57" s="37">
        <v>15</v>
      </c>
      <c r="N57" s="14" t="s">
        <v>46</v>
      </c>
      <c r="Q57" s="51" t="s">
        <v>66</v>
      </c>
      <c r="R57" s="19" t="s">
        <v>67</v>
      </c>
      <c r="S57" s="73" t="s">
        <v>68</v>
      </c>
      <c r="T57" s="73">
        <v>150</v>
      </c>
      <c r="U57" s="73">
        <v>15</v>
      </c>
      <c r="V57" s="47" t="s">
        <v>28</v>
      </c>
      <c r="X57" s="51" t="s">
        <v>66</v>
      </c>
      <c r="Y57" s="122">
        <v>45706</v>
      </c>
      <c r="Z57" s="127" t="s">
        <v>136</v>
      </c>
      <c r="AB57" s="132" t="s">
        <v>67</v>
      </c>
      <c r="AC57" s="47" t="s">
        <v>68</v>
      </c>
      <c r="AD57" s="65" t="str">
        <f t="shared" si="3"/>
        <v>Smartwatch - Fitbit</v>
      </c>
      <c r="AH57" s="82">
        <v>120</v>
      </c>
      <c r="AK57" s="87" t="s">
        <v>123</v>
      </c>
    </row>
    <row r="58" spans="9:37" ht="15.75" customHeight="1" x14ac:dyDescent="0.2">
      <c r="I58" s="40" t="s">
        <v>69</v>
      </c>
      <c r="J58" s="40" t="s">
        <v>70</v>
      </c>
      <c r="K58" s="40" t="s">
        <v>71</v>
      </c>
      <c r="L58" s="40">
        <v>250</v>
      </c>
      <c r="M58" s="40">
        <v>20</v>
      </c>
      <c r="N58" s="41" t="s">
        <v>46</v>
      </c>
      <c r="Q58" s="52" t="s">
        <v>69</v>
      </c>
      <c r="R58" s="21" t="s">
        <v>44</v>
      </c>
      <c r="S58" s="74" t="s">
        <v>71</v>
      </c>
      <c r="T58" s="74">
        <v>250</v>
      </c>
      <c r="U58" s="74">
        <v>20</v>
      </c>
      <c r="V58" s="47" t="s">
        <v>28</v>
      </c>
      <c r="X58" s="52" t="s">
        <v>69</v>
      </c>
      <c r="Y58" s="123">
        <v>45763</v>
      </c>
      <c r="Z58" s="127" t="s">
        <v>137</v>
      </c>
      <c r="AB58" s="132" t="s">
        <v>44</v>
      </c>
      <c r="AC58" s="47" t="s">
        <v>71</v>
      </c>
      <c r="AD58" s="65" t="str">
        <f t="shared" si="3"/>
        <v>Headphones - Bose</v>
      </c>
      <c r="AH58" s="82">
        <v>150</v>
      </c>
      <c r="AK58" s="87" t="s">
        <v>28</v>
      </c>
    </row>
    <row r="59" spans="9:37" ht="15.75" customHeight="1" x14ac:dyDescent="0.2">
      <c r="I59" s="40" t="s">
        <v>72</v>
      </c>
      <c r="J59" s="43" t="s">
        <v>73</v>
      </c>
      <c r="K59" s="43" t="s">
        <v>74</v>
      </c>
      <c r="L59" s="43">
        <v>50</v>
      </c>
      <c r="M59" s="43">
        <v>35</v>
      </c>
      <c r="N59" s="44" t="s">
        <v>75</v>
      </c>
      <c r="Q59" s="51" t="s">
        <v>72</v>
      </c>
      <c r="R59" s="19" t="s">
        <v>73</v>
      </c>
      <c r="S59" s="73" t="s">
        <v>74</v>
      </c>
      <c r="T59" s="73">
        <v>50</v>
      </c>
      <c r="U59" s="73">
        <v>35</v>
      </c>
      <c r="V59" s="47" t="s">
        <v>75</v>
      </c>
      <c r="X59" s="51" t="s">
        <v>72</v>
      </c>
      <c r="Y59" s="122">
        <v>45890</v>
      </c>
      <c r="Z59" s="127" t="s">
        <v>136</v>
      </c>
      <c r="AB59" s="132" t="s">
        <v>73</v>
      </c>
      <c r="AC59" s="47" t="s">
        <v>74</v>
      </c>
      <c r="AD59" s="65" t="str">
        <f t="shared" si="3"/>
        <v>Laptop Bag - Samsonite</v>
      </c>
      <c r="AH59" s="82">
        <v>250</v>
      </c>
      <c r="AK59" s="87" t="s">
        <v>28</v>
      </c>
    </row>
    <row r="60" spans="9:37" ht="15.75" customHeight="1" x14ac:dyDescent="0.2">
      <c r="I60" s="11" t="s">
        <v>76</v>
      </c>
      <c r="J60" s="36" t="s">
        <v>67</v>
      </c>
      <c r="K60" s="36" t="s">
        <v>77</v>
      </c>
      <c r="L60" s="36">
        <v>160</v>
      </c>
      <c r="M60" s="36">
        <v>15</v>
      </c>
      <c r="N60" s="12" t="s">
        <v>46</v>
      </c>
      <c r="Q60" s="52" t="s">
        <v>76</v>
      </c>
      <c r="R60" s="19" t="s">
        <v>67</v>
      </c>
      <c r="S60" s="74" t="s">
        <v>77</v>
      </c>
      <c r="T60" s="74">
        <v>160</v>
      </c>
      <c r="U60" s="74">
        <v>15</v>
      </c>
      <c r="V60" s="47" t="s">
        <v>28</v>
      </c>
      <c r="X60" s="52" t="s">
        <v>76</v>
      </c>
      <c r="Y60" s="123">
        <v>45889</v>
      </c>
      <c r="Z60" s="127" t="s">
        <v>138</v>
      </c>
      <c r="AB60" s="132" t="s">
        <v>67</v>
      </c>
      <c r="AC60" s="47" t="s">
        <v>77</v>
      </c>
      <c r="AD60" s="65" t="str">
        <f t="shared" si="3"/>
        <v>Smartwatch - Huawei</v>
      </c>
      <c r="AH60" s="82">
        <v>50</v>
      </c>
      <c r="AK60" s="87" t="s">
        <v>75</v>
      </c>
    </row>
    <row r="61" spans="9:37" ht="15.75" customHeight="1" x14ac:dyDescent="0.2">
      <c r="I61" s="13" t="s">
        <v>78</v>
      </c>
      <c r="J61" s="37" t="s">
        <v>26</v>
      </c>
      <c r="K61" s="37" t="s">
        <v>79</v>
      </c>
      <c r="L61" s="37">
        <v>980</v>
      </c>
      <c r="M61" s="37">
        <v>10</v>
      </c>
      <c r="N61" s="14" t="s">
        <v>28</v>
      </c>
      <c r="Q61" s="51" t="s">
        <v>78</v>
      </c>
      <c r="R61" s="21" t="s">
        <v>61</v>
      </c>
      <c r="S61" s="73" t="s">
        <v>79</v>
      </c>
      <c r="T61" s="73">
        <v>980</v>
      </c>
      <c r="U61" s="73">
        <v>10</v>
      </c>
      <c r="V61" s="47" t="s">
        <v>28</v>
      </c>
      <c r="X61" s="51" t="s">
        <v>78</v>
      </c>
      <c r="Y61" s="122">
        <v>45684</v>
      </c>
      <c r="Z61" s="127" t="s">
        <v>139</v>
      </c>
      <c r="AB61" s="132" t="s">
        <v>61</v>
      </c>
      <c r="AC61" s="47" t="s">
        <v>79</v>
      </c>
      <c r="AD61" s="65" t="str">
        <f t="shared" si="3"/>
        <v>Laptop - Asus</v>
      </c>
      <c r="AH61" s="82">
        <v>160</v>
      </c>
      <c r="AK61" s="87" t="s">
        <v>28</v>
      </c>
    </row>
    <row r="62" spans="9:37" ht="15.75" customHeight="1" x14ac:dyDescent="0.2">
      <c r="I62" s="11" t="s">
        <v>80</v>
      </c>
      <c r="J62" s="36" t="s">
        <v>81</v>
      </c>
      <c r="K62" s="36" t="s">
        <v>82</v>
      </c>
      <c r="L62" s="36">
        <v>150</v>
      </c>
      <c r="M62" s="36">
        <v>15</v>
      </c>
      <c r="N62" s="12" t="s">
        <v>32</v>
      </c>
      <c r="Q62" s="52" t="s">
        <v>80</v>
      </c>
      <c r="R62" s="19" t="s">
        <v>81</v>
      </c>
      <c r="S62" s="74" t="s">
        <v>82</v>
      </c>
      <c r="T62" s="74">
        <v>150</v>
      </c>
      <c r="U62" s="74">
        <v>15</v>
      </c>
      <c r="V62" s="47" t="s">
        <v>32</v>
      </c>
      <c r="X62" s="52" t="s">
        <v>80</v>
      </c>
      <c r="Y62" s="123">
        <v>45717</v>
      </c>
      <c r="Z62" s="127" t="s">
        <v>132</v>
      </c>
      <c r="AB62" s="132" t="s">
        <v>81</v>
      </c>
      <c r="AC62" s="47" t="s">
        <v>82</v>
      </c>
      <c r="AD62" s="65" t="str">
        <f t="shared" si="3"/>
        <v>Sunglasses - Oakley</v>
      </c>
      <c r="AH62" s="82">
        <v>980</v>
      </c>
      <c r="AK62" s="87" t="s">
        <v>28</v>
      </c>
    </row>
    <row r="63" spans="9:37" ht="15.75" customHeight="1" x14ac:dyDescent="0.2">
      <c r="I63" s="13" t="s">
        <v>83</v>
      </c>
      <c r="J63" s="37" t="s">
        <v>84</v>
      </c>
      <c r="K63" s="37" t="s">
        <v>85</v>
      </c>
      <c r="L63" s="37"/>
      <c r="M63" s="37">
        <v>10</v>
      </c>
      <c r="N63" s="14" t="s">
        <v>59</v>
      </c>
      <c r="Q63" s="51" t="s">
        <v>83</v>
      </c>
      <c r="R63" s="19" t="s">
        <v>84</v>
      </c>
      <c r="S63" s="73" t="s">
        <v>85</v>
      </c>
      <c r="T63" s="75">
        <v>130</v>
      </c>
      <c r="U63" s="73">
        <v>10</v>
      </c>
      <c r="V63" s="47" t="s">
        <v>59</v>
      </c>
      <c r="X63" s="51" t="s">
        <v>83</v>
      </c>
      <c r="Y63" s="122">
        <v>45883</v>
      </c>
      <c r="Z63" s="127" t="s">
        <v>131</v>
      </c>
      <c r="AB63" s="132" t="s">
        <v>84</v>
      </c>
      <c r="AC63" s="47" t="s">
        <v>85</v>
      </c>
      <c r="AD63" s="65" t="str">
        <f t="shared" si="3"/>
        <v>Camping Tent - Coleman</v>
      </c>
      <c r="AH63" s="82">
        <v>150</v>
      </c>
      <c r="AK63" s="87" t="s">
        <v>32</v>
      </c>
    </row>
    <row r="64" spans="9:37" ht="15.75" customHeight="1" x14ac:dyDescent="0.2">
      <c r="I64" s="11" t="s">
        <v>86</v>
      </c>
      <c r="J64" s="36" t="s">
        <v>87</v>
      </c>
      <c r="K64" s="36" t="s">
        <v>88</v>
      </c>
      <c r="L64" s="36">
        <v>700</v>
      </c>
      <c r="M64" s="36">
        <v>50</v>
      </c>
      <c r="N64" s="12" t="s">
        <v>28</v>
      </c>
      <c r="Q64" s="52" t="s">
        <v>86</v>
      </c>
      <c r="R64" s="19" t="s">
        <v>87</v>
      </c>
      <c r="S64" s="74" t="s">
        <v>88</v>
      </c>
      <c r="T64" s="74">
        <v>700</v>
      </c>
      <c r="U64" s="74">
        <v>50</v>
      </c>
      <c r="V64" s="47" t="s">
        <v>28</v>
      </c>
      <c r="X64" s="52" t="s">
        <v>86</v>
      </c>
      <c r="Y64" s="123">
        <v>45791</v>
      </c>
      <c r="Z64" s="127" t="s">
        <v>140</v>
      </c>
      <c r="AB64" s="132" t="s">
        <v>87</v>
      </c>
      <c r="AC64" s="47" t="s">
        <v>88</v>
      </c>
      <c r="AD64" s="65" t="str">
        <f t="shared" si="3"/>
        <v>Camera - Nikon</v>
      </c>
      <c r="AH64" s="83">
        <v>130</v>
      </c>
      <c r="AK64" s="87" t="s">
        <v>59</v>
      </c>
    </row>
    <row r="65" spans="9:37" ht="15.75" customHeight="1" x14ac:dyDescent="0.2">
      <c r="I65" s="13" t="s">
        <v>89</v>
      </c>
      <c r="J65" s="37" t="s">
        <v>90</v>
      </c>
      <c r="K65" s="37" t="s">
        <v>91</v>
      </c>
      <c r="L65" s="37">
        <v>80</v>
      </c>
      <c r="M65" s="37">
        <v>20</v>
      </c>
      <c r="N65" s="14" t="s">
        <v>36</v>
      </c>
      <c r="Q65" s="51" t="s">
        <v>89</v>
      </c>
      <c r="R65" s="19" t="s">
        <v>90</v>
      </c>
      <c r="S65" s="73" t="s">
        <v>91</v>
      </c>
      <c r="T65" s="73">
        <v>80</v>
      </c>
      <c r="U65" s="73">
        <v>20</v>
      </c>
      <c r="V65" s="47" t="s">
        <v>36</v>
      </c>
      <c r="X65" s="51" t="s">
        <v>89</v>
      </c>
      <c r="Y65" s="122">
        <v>45666</v>
      </c>
      <c r="Z65" s="127" t="s">
        <v>136</v>
      </c>
      <c r="AB65" s="132" t="s">
        <v>90</v>
      </c>
      <c r="AC65" s="47" t="s">
        <v>91</v>
      </c>
      <c r="AD65" s="65" t="str">
        <f t="shared" si="3"/>
        <v>Microwave - Panasonic</v>
      </c>
      <c r="AH65" s="82">
        <v>700</v>
      </c>
      <c r="AK65" s="87" t="s">
        <v>28</v>
      </c>
    </row>
    <row r="66" spans="9:37" ht="15.75" customHeight="1" x14ac:dyDescent="0.2">
      <c r="I66" s="11" t="s">
        <v>92</v>
      </c>
      <c r="J66" s="36" t="s">
        <v>93</v>
      </c>
      <c r="K66" s="36" t="s">
        <v>94</v>
      </c>
      <c r="L66" s="36">
        <v>150</v>
      </c>
      <c r="M66" s="36">
        <v>30</v>
      </c>
      <c r="N66" s="12"/>
      <c r="Q66" s="52" t="s">
        <v>92</v>
      </c>
      <c r="R66" s="19" t="s">
        <v>93</v>
      </c>
      <c r="S66" s="74" t="s">
        <v>94</v>
      </c>
      <c r="T66" s="74">
        <v>150</v>
      </c>
      <c r="U66" s="74">
        <v>30</v>
      </c>
      <c r="V66" s="48" t="s">
        <v>123</v>
      </c>
      <c r="X66" s="52" t="s">
        <v>92</v>
      </c>
      <c r="Y66" s="123">
        <v>45857</v>
      </c>
      <c r="Z66" s="127" t="s">
        <v>141</v>
      </c>
      <c r="AB66" s="132" t="s">
        <v>93</v>
      </c>
      <c r="AC66" s="47" t="s">
        <v>94</v>
      </c>
      <c r="AD66" s="65" t="str">
        <f t="shared" si="3"/>
        <v>Fitness Tracker - Xiaomi</v>
      </c>
      <c r="AH66" s="82">
        <v>80</v>
      </c>
      <c r="AK66" s="87" t="s">
        <v>36</v>
      </c>
    </row>
    <row r="67" spans="9:37" ht="15.75" customHeight="1" x14ac:dyDescent="0.2">
      <c r="I67" s="42" t="s">
        <v>72</v>
      </c>
      <c r="J67" s="43" t="s">
        <v>73</v>
      </c>
      <c r="K67" s="43" t="s">
        <v>74</v>
      </c>
      <c r="L67" s="43">
        <v>50</v>
      </c>
      <c r="M67" s="43">
        <v>35</v>
      </c>
      <c r="N67" s="44" t="s">
        <v>75</v>
      </c>
      <c r="Q67" s="52" t="s">
        <v>95</v>
      </c>
      <c r="R67" s="19" t="s">
        <v>96</v>
      </c>
      <c r="S67" s="74" t="s">
        <v>97</v>
      </c>
      <c r="T67" s="74">
        <v>800</v>
      </c>
      <c r="U67" s="74">
        <v>45</v>
      </c>
      <c r="V67" s="47" t="s">
        <v>28</v>
      </c>
      <c r="X67" s="52" t="s">
        <v>95</v>
      </c>
      <c r="Y67" s="124">
        <v>45929</v>
      </c>
      <c r="Z67" s="127" t="s">
        <v>136</v>
      </c>
      <c r="AB67" s="132" t="s">
        <v>96</v>
      </c>
      <c r="AC67" s="47" t="s">
        <v>97</v>
      </c>
      <c r="AD67" s="65" t="str">
        <f t="shared" si="3"/>
        <v>Smartphone - Google</v>
      </c>
      <c r="AH67" s="82">
        <v>150</v>
      </c>
      <c r="AK67" s="87" t="s">
        <v>123</v>
      </c>
    </row>
    <row r="68" spans="9:37" ht="15.75" customHeight="1" x14ac:dyDescent="0.2">
      <c r="I68" s="11" t="s">
        <v>95</v>
      </c>
      <c r="J68" s="36" t="s">
        <v>96</v>
      </c>
      <c r="K68" s="36" t="s">
        <v>97</v>
      </c>
      <c r="L68" s="36">
        <v>800</v>
      </c>
      <c r="M68" s="36">
        <v>45</v>
      </c>
      <c r="N68" s="12" t="s">
        <v>28</v>
      </c>
      <c r="Q68" s="51" t="s">
        <v>98</v>
      </c>
      <c r="R68" s="19" t="s">
        <v>81</v>
      </c>
      <c r="S68" s="73" t="s">
        <v>99</v>
      </c>
      <c r="T68" s="75">
        <v>74</v>
      </c>
      <c r="U68" s="73">
        <v>25</v>
      </c>
      <c r="V68" s="47" t="s">
        <v>32</v>
      </c>
      <c r="X68" s="51" t="s">
        <v>98</v>
      </c>
      <c r="Y68" s="122">
        <v>45811</v>
      </c>
      <c r="Z68" s="127" t="s">
        <v>136</v>
      </c>
      <c r="AB68" s="132" t="s">
        <v>81</v>
      </c>
      <c r="AC68" s="47" t="s">
        <v>99</v>
      </c>
      <c r="AD68" s="65" t="str">
        <f t="shared" si="3"/>
        <v>Sunglasses - Ray-Ban</v>
      </c>
      <c r="AH68" s="82">
        <v>800</v>
      </c>
      <c r="AK68" s="87" t="s">
        <v>28</v>
      </c>
    </row>
    <row r="69" spans="9:37" ht="15.75" customHeight="1" x14ac:dyDescent="0.2">
      <c r="I69" s="13" t="s">
        <v>98</v>
      </c>
      <c r="J69" s="37" t="s">
        <v>81</v>
      </c>
      <c r="K69" s="37" t="s">
        <v>99</v>
      </c>
      <c r="L69" s="37"/>
      <c r="M69" s="37">
        <v>25</v>
      </c>
      <c r="N69" s="14" t="s">
        <v>32</v>
      </c>
      <c r="Q69" s="52" t="s">
        <v>100</v>
      </c>
      <c r="R69" s="19" t="s">
        <v>51</v>
      </c>
      <c r="S69" s="74" t="s">
        <v>101</v>
      </c>
      <c r="T69" s="74">
        <v>400</v>
      </c>
      <c r="U69" s="74">
        <v>40</v>
      </c>
      <c r="V69" s="47" t="s">
        <v>36</v>
      </c>
      <c r="X69" s="52" t="s">
        <v>100</v>
      </c>
      <c r="Y69" s="124">
        <v>45849</v>
      </c>
      <c r="Z69" s="127" t="s">
        <v>136</v>
      </c>
      <c r="AB69" s="132" t="s">
        <v>51</v>
      </c>
      <c r="AC69" s="47" t="s">
        <v>101</v>
      </c>
      <c r="AD69" s="65" t="str">
        <f t="shared" si="3"/>
        <v>Blender - Vitamix</v>
      </c>
      <c r="AH69" s="83">
        <v>74</v>
      </c>
      <c r="AK69" s="87" t="s">
        <v>32</v>
      </c>
    </row>
    <row r="70" spans="9:37" ht="15.75" customHeight="1" x14ac:dyDescent="0.2">
      <c r="I70" s="11" t="s">
        <v>100</v>
      </c>
      <c r="J70" s="36" t="s">
        <v>51</v>
      </c>
      <c r="K70" s="36" t="s">
        <v>101</v>
      </c>
      <c r="L70" s="36">
        <v>400</v>
      </c>
      <c r="M70" s="36">
        <v>40</v>
      </c>
      <c r="N70" s="12" t="s">
        <v>36</v>
      </c>
      <c r="Q70" s="52" t="s">
        <v>102</v>
      </c>
      <c r="R70" s="19" t="s">
        <v>103</v>
      </c>
      <c r="S70" s="74" t="s">
        <v>104</v>
      </c>
      <c r="T70" s="74">
        <v>60</v>
      </c>
      <c r="U70" s="74">
        <v>30</v>
      </c>
      <c r="V70" s="47" t="s">
        <v>32</v>
      </c>
      <c r="X70" s="52" t="s">
        <v>102</v>
      </c>
      <c r="Y70" s="123">
        <v>45723</v>
      </c>
      <c r="Z70" s="127" t="s">
        <v>136</v>
      </c>
      <c r="AB70" s="132" t="s">
        <v>103</v>
      </c>
      <c r="AC70" s="47" t="s">
        <v>104</v>
      </c>
      <c r="AD70" s="65" t="str">
        <f t="shared" si="3"/>
        <v>Dress - Zara</v>
      </c>
      <c r="AH70" s="82">
        <v>400</v>
      </c>
      <c r="AK70" s="87" t="s">
        <v>36</v>
      </c>
    </row>
    <row r="71" spans="9:37" ht="15.75" customHeight="1" x14ac:dyDescent="0.2">
      <c r="I71" s="42" t="s">
        <v>69</v>
      </c>
      <c r="J71" s="43" t="s">
        <v>70</v>
      </c>
      <c r="K71" s="43" t="s">
        <v>71</v>
      </c>
      <c r="L71" s="43">
        <v>250</v>
      </c>
      <c r="M71" s="43">
        <v>20</v>
      </c>
      <c r="N71" s="44" t="s">
        <v>46</v>
      </c>
      <c r="Q71" s="51" t="s">
        <v>105</v>
      </c>
      <c r="R71" s="19" t="s">
        <v>106</v>
      </c>
      <c r="S71" s="73" t="s">
        <v>107</v>
      </c>
      <c r="T71" s="73">
        <v>40</v>
      </c>
      <c r="U71" s="73">
        <v>10</v>
      </c>
      <c r="V71" s="47" t="s">
        <v>36</v>
      </c>
      <c r="X71" s="51" t="s">
        <v>105</v>
      </c>
      <c r="Y71" s="122">
        <v>45760</v>
      </c>
      <c r="Z71" s="127" t="s">
        <v>136</v>
      </c>
      <c r="AB71" s="132" t="s">
        <v>106</v>
      </c>
      <c r="AC71" s="47" t="s">
        <v>107</v>
      </c>
      <c r="AD71" s="65" t="str">
        <f t="shared" si="3"/>
        <v>Toaster - Hamilton</v>
      </c>
      <c r="AH71" s="82">
        <v>60</v>
      </c>
      <c r="AK71" s="87" t="s">
        <v>32</v>
      </c>
    </row>
    <row r="72" spans="9:37" ht="15.75" customHeight="1" x14ac:dyDescent="0.2">
      <c r="I72" s="11" t="s">
        <v>102</v>
      </c>
      <c r="J72" s="36" t="s">
        <v>103</v>
      </c>
      <c r="K72" s="36" t="s">
        <v>104</v>
      </c>
      <c r="L72" s="36">
        <v>60</v>
      </c>
      <c r="M72" s="36">
        <v>30</v>
      </c>
      <c r="N72" s="12" t="s">
        <v>32</v>
      </c>
      <c r="Q72" s="52" t="s">
        <v>108</v>
      </c>
      <c r="R72" s="19" t="s">
        <v>93</v>
      </c>
      <c r="S72" s="74" t="s">
        <v>109</v>
      </c>
      <c r="T72" s="74">
        <v>130</v>
      </c>
      <c r="U72" s="74">
        <v>5</v>
      </c>
      <c r="V72" s="47" t="s">
        <v>28</v>
      </c>
      <c r="X72" s="52" t="s">
        <v>108</v>
      </c>
      <c r="Y72" s="123">
        <v>45801</v>
      </c>
      <c r="Z72" s="127" t="s">
        <v>136</v>
      </c>
      <c r="AB72" s="132" t="s">
        <v>93</v>
      </c>
      <c r="AC72" s="47" t="s">
        <v>109</v>
      </c>
      <c r="AD72" s="65" t="str">
        <f t="shared" si="3"/>
        <v>Fitness Tracker - Garmin</v>
      </c>
      <c r="AH72" s="82">
        <v>40</v>
      </c>
      <c r="AK72" s="87" t="s">
        <v>36</v>
      </c>
    </row>
    <row r="73" spans="9:37" ht="15.75" customHeight="1" x14ac:dyDescent="0.2">
      <c r="I73" s="13" t="s">
        <v>105</v>
      </c>
      <c r="J73" s="37" t="s">
        <v>106</v>
      </c>
      <c r="K73" s="37" t="s">
        <v>107</v>
      </c>
      <c r="L73" s="37">
        <v>40</v>
      </c>
      <c r="M73" s="37">
        <v>10</v>
      </c>
      <c r="N73" s="14" t="s">
        <v>36</v>
      </c>
      <c r="Q73" s="51" t="s">
        <v>110</v>
      </c>
      <c r="R73" s="19" t="s">
        <v>111</v>
      </c>
      <c r="S73" s="73" t="s">
        <v>112</v>
      </c>
      <c r="T73" s="73">
        <v>50</v>
      </c>
      <c r="U73" s="73">
        <v>50</v>
      </c>
      <c r="V73" s="47" t="s">
        <v>32</v>
      </c>
      <c r="X73" s="51" t="s">
        <v>110</v>
      </c>
      <c r="Y73" s="122">
        <v>45993</v>
      </c>
      <c r="Z73" s="127" t="s">
        <v>136</v>
      </c>
      <c r="AB73" s="132" t="s">
        <v>111</v>
      </c>
      <c r="AC73" s="47" t="s">
        <v>112</v>
      </c>
      <c r="AD73" s="65" t="str">
        <f t="shared" si="3"/>
        <v>Jeans - Levi's</v>
      </c>
      <c r="AH73" s="82">
        <v>130</v>
      </c>
      <c r="AK73" s="87" t="s">
        <v>28</v>
      </c>
    </row>
    <row r="74" spans="9:37" ht="15.75" customHeight="1" thickBot="1" x14ac:dyDescent="0.25">
      <c r="I74" s="11" t="s">
        <v>108</v>
      </c>
      <c r="J74" s="36" t="s">
        <v>93</v>
      </c>
      <c r="K74" s="36" t="s">
        <v>109</v>
      </c>
      <c r="L74" s="36">
        <v>130</v>
      </c>
      <c r="M74" s="36">
        <v>5</v>
      </c>
      <c r="N74" s="12" t="s">
        <v>28</v>
      </c>
      <c r="Q74" s="53" t="s">
        <v>113</v>
      </c>
      <c r="R74" s="20" t="s">
        <v>114</v>
      </c>
      <c r="S74" s="76" t="s">
        <v>115</v>
      </c>
      <c r="T74" s="76">
        <v>100</v>
      </c>
      <c r="U74" s="76">
        <v>20</v>
      </c>
      <c r="V74" s="47" t="s">
        <v>75</v>
      </c>
      <c r="X74" s="53" t="s">
        <v>113</v>
      </c>
      <c r="Y74" s="125">
        <v>45847</v>
      </c>
      <c r="Z74" s="127" t="s">
        <v>142</v>
      </c>
      <c r="AB74" s="133" t="s">
        <v>114</v>
      </c>
      <c r="AC74" s="134" t="s">
        <v>115</v>
      </c>
      <c r="AD74" s="135" t="str">
        <f t="shared" si="3"/>
        <v>Watch - Casio</v>
      </c>
      <c r="AH74" s="82">
        <v>50</v>
      </c>
      <c r="AK74" s="87" t="s">
        <v>32</v>
      </c>
    </row>
    <row r="75" spans="9:37" ht="15.75" customHeight="1" thickBot="1" x14ac:dyDescent="0.25">
      <c r="I75" s="13" t="s">
        <v>110</v>
      </c>
      <c r="J75" s="37" t="s">
        <v>111</v>
      </c>
      <c r="K75" s="37" t="s">
        <v>112</v>
      </c>
      <c r="L75" s="37">
        <v>50</v>
      </c>
      <c r="M75" s="37">
        <v>50</v>
      </c>
      <c r="N75" s="14" t="s">
        <v>32</v>
      </c>
      <c r="AH75" s="84">
        <v>100</v>
      </c>
      <c r="AK75" s="88" t="s">
        <v>75</v>
      </c>
    </row>
    <row r="76" spans="9:37" ht="15.75" customHeight="1" x14ac:dyDescent="0.2">
      <c r="I76" s="39" t="s">
        <v>60</v>
      </c>
      <c r="J76" s="40" t="s">
        <v>61</v>
      </c>
      <c r="K76" s="40" t="s">
        <v>62</v>
      </c>
      <c r="L76" s="40">
        <v>950</v>
      </c>
      <c r="M76" s="40">
        <v>25</v>
      </c>
      <c r="N76" s="41" t="s">
        <v>28</v>
      </c>
      <c r="AK76" s="86"/>
    </row>
    <row r="77" spans="9:37" ht="15.75" customHeight="1" x14ac:dyDescent="0.2">
      <c r="I77" s="15" t="s">
        <v>113</v>
      </c>
      <c r="J77" s="38" t="s">
        <v>114</v>
      </c>
      <c r="K77" s="38" t="s">
        <v>115</v>
      </c>
      <c r="L77" s="38">
        <v>100</v>
      </c>
      <c r="M77" s="38">
        <v>20</v>
      </c>
      <c r="N77" s="16" t="s">
        <v>75</v>
      </c>
      <c r="AK77" s="86"/>
    </row>
    <row r="78" spans="9:37" ht="15.75" customHeight="1" x14ac:dyDescent="0.2">
      <c r="AK78" s="86"/>
    </row>
    <row r="79" spans="9:37" ht="15.75" customHeight="1" x14ac:dyDescent="0.2">
      <c r="AK79" s="47"/>
    </row>
    <row r="80" spans="9:37" ht="15.75" customHeight="1" x14ac:dyDescent="0.2">
      <c r="V80" s="126"/>
    </row>
    <row r="81" spans="22:30" ht="15.75" customHeight="1" x14ac:dyDescent="0.2">
      <c r="V81" s="126"/>
    </row>
    <row r="82" spans="22:30" ht="15.75" customHeight="1" x14ac:dyDescent="0.2">
      <c r="V82" s="126"/>
    </row>
    <row r="83" spans="22:30" ht="15.75" customHeight="1" x14ac:dyDescent="0.2">
      <c r="V83" s="126"/>
      <c r="AB83" s="126"/>
      <c r="AC83" s="128"/>
      <c r="AD83" s="128"/>
    </row>
    <row r="84" spans="22:30" ht="15.75" customHeight="1" x14ac:dyDescent="0.2">
      <c r="V84" s="126"/>
      <c r="AB84" s="126"/>
      <c r="AC84" s="128"/>
      <c r="AD84" s="128"/>
    </row>
    <row r="85" spans="22:30" ht="15.75" customHeight="1" x14ac:dyDescent="0.2">
      <c r="V85" s="126"/>
      <c r="AB85" s="126"/>
      <c r="AC85" s="128"/>
      <c r="AD85" s="128"/>
    </row>
    <row r="86" spans="22:30" ht="15.75" customHeight="1" x14ac:dyDescent="0.2">
      <c r="V86" s="126"/>
      <c r="AB86" s="126"/>
      <c r="AC86" s="128"/>
      <c r="AD86" s="128"/>
    </row>
    <row r="87" spans="22:30" ht="15.75" customHeight="1" x14ac:dyDescent="0.2">
      <c r="V87" s="126"/>
      <c r="AB87" s="126"/>
      <c r="AC87" s="128"/>
      <c r="AD87" s="128"/>
    </row>
    <row r="88" spans="22:30" ht="15.75" customHeight="1" x14ac:dyDescent="0.2">
      <c r="V88" s="126"/>
      <c r="AB88" s="126"/>
      <c r="AC88" s="128"/>
      <c r="AD88" s="128"/>
    </row>
    <row r="89" spans="22:30" ht="15.75" customHeight="1" x14ac:dyDescent="0.2">
      <c r="V89" s="126"/>
      <c r="AB89" s="126"/>
      <c r="AC89" s="128"/>
      <c r="AD89" s="128"/>
    </row>
    <row r="90" spans="22:30" ht="15.75" customHeight="1" x14ac:dyDescent="0.2">
      <c r="V90" s="126"/>
      <c r="AB90" s="126"/>
      <c r="AC90" s="128"/>
      <c r="AD90" s="128"/>
    </row>
    <row r="91" spans="22:30" ht="15.75" customHeight="1" x14ac:dyDescent="0.2">
      <c r="V91" s="126"/>
      <c r="AB91" s="126"/>
      <c r="AC91" s="128"/>
      <c r="AD91" s="128"/>
    </row>
    <row r="92" spans="22:30" ht="15.75" customHeight="1" x14ac:dyDescent="0.2">
      <c r="V92" s="126"/>
      <c r="AB92" s="126"/>
      <c r="AC92" s="128"/>
      <c r="AD92" s="128"/>
    </row>
    <row r="93" spans="22:30" ht="15.75" customHeight="1" x14ac:dyDescent="0.2">
      <c r="V93" s="126"/>
      <c r="AB93" s="126"/>
      <c r="AC93" s="128"/>
      <c r="AD93" s="128"/>
    </row>
    <row r="94" spans="22:30" ht="15.75" customHeight="1" x14ac:dyDescent="0.2">
      <c r="V94" s="126"/>
      <c r="AB94" s="126"/>
      <c r="AC94" s="128"/>
      <c r="AD94" s="128"/>
    </row>
    <row r="95" spans="22:30" ht="15.75" customHeight="1" x14ac:dyDescent="0.2">
      <c r="V95" s="126"/>
      <c r="AB95" s="126"/>
      <c r="AC95" s="128"/>
      <c r="AD95" s="128"/>
    </row>
    <row r="96" spans="22:30" ht="15.75" customHeight="1" x14ac:dyDescent="0.2">
      <c r="V96" s="126"/>
      <c r="AB96" s="126"/>
      <c r="AC96" s="128"/>
      <c r="AD96" s="128"/>
    </row>
    <row r="97" spans="22:30" ht="15.75" customHeight="1" x14ac:dyDescent="0.2">
      <c r="V97" s="126"/>
      <c r="AB97" s="126"/>
      <c r="AC97" s="128"/>
      <c r="AD97" s="128"/>
    </row>
    <row r="98" spans="22:30" ht="15.75" customHeight="1" x14ac:dyDescent="0.2">
      <c r="V98" s="126"/>
      <c r="AB98" s="126"/>
      <c r="AC98" s="128"/>
      <c r="AD98" s="128"/>
    </row>
    <row r="99" spans="22:30" ht="15.75" customHeight="1" x14ac:dyDescent="0.2">
      <c r="V99" s="126"/>
      <c r="AB99" s="126"/>
      <c r="AC99" s="128"/>
      <c r="AD99" s="128"/>
    </row>
    <row r="100" spans="22:30" ht="15.75" customHeight="1" x14ac:dyDescent="0.2">
      <c r="V100" s="126"/>
      <c r="AB100" s="126"/>
      <c r="AC100" s="128"/>
      <c r="AD100" s="128"/>
    </row>
    <row r="101" spans="22:30" ht="15.75" customHeight="1" x14ac:dyDescent="0.2">
      <c r="V101" s="126"/>
      <c r="AB101" s="126"/>
      <c r="AC101" s="128"/>
      <c r="AD101" s="128"/>
    </row>
    <row r="102" spans="22:30" ht="15.75" customHeight="1" x14ac:dyDescent="0.2">
      <c r="V102" s="126"/>
      <c r="AB102" s="126"/>
      <c r="AC102" s="128"/>
      <c r="AD102" s="128"/>
    </row>
    <row r="103" spans="22:30" ht="15.75" customHeight="1" x14ac:dyDescent="0.2">
      <c r="V103" s="126"/>
      <c r="AB103" s="126"/>
      <c r="AC103" s="128"/>
      <c r="AD103" s="128"/>
    </row>
    <row r="104" spans="22:30" ht="15.75" customHeight="1" x14ac:dyDescent="0.2">
      <c r="V104" s="126"/>
      <c r="AB104" s="126"/>
      <c r="AC104" s="128"/>
      <c r="AD104" s="128"/>
    </row>
    <row r="105" spans="22:30" ht="15.75" customHeight="1" x14ac:dyDescent="0.2">
      <c r="V105" s="126"/>
      <c r="AB105" s="126"/>
      <c r="AC105" s="128"/>
      <c r="AD105" s="128"/>
    </row>
    <row r="106" spans="22:30" ht="15.75" customHeight="1" x14ac:dyDescent="0.2">
      <c r="V106" s="126"/>
      <c r="AB106" s="126"/>
      <c r="AC106" s="128"/>
      <c r="AD106" s="128"/>
    </row>
    <row r="107" spans="22:30" ht="15.75" customHeight="1" x14ac:dyDescent="0.2">
      <c r="V107" s="126"/>
      <c r="AB107" s="126"/>
      <c r="AC107" s="128"/>
      <c r="AD107" s="128"/>
    </row>
    <row r="108" spans="22:30" ht="15.75" customHeight="1" x14ac:dyDescent="0.2">
      <c r="V108" s="126"/>
      <c r="AB108" s="126"/>
      <c r="AC108" s="128"/>
      <c r="AD108" s="128"/>
    </row>
    <row r="109" spans="22:30" ht="15.75" customHeight="1" x14ac:dyDescent="0.2">
      <c r="V109" s="126"/>
      <c r="AB109" s="126"/>
      <c r="AC109" s="128"/>
      <c r="AD109" s="128"/>
    </row>
    <row r="110" spans="22:30" ht="15.75" customHeight="1" x14ac:dyDescent="0.2">
      <c r="V110" s="126"/>
      <c r="AB110" s="126"/>
      <c r="AC110" s="128"/>
      <c r="AD110" s="128"/>
    </row>
    <row r="111" spans="22:30" ht="15.75" customHeight="1" x14ac:dyDescent="0.2">
      <c r="V111" s="128"/>
      <c r="AB111" s="126"/>
      <c r="AC111" s="128"/>
      <c r="AD111" s="128"/>
    </row>
    <row r="112" spans="22:30" ht="15.75" customHeight="1" x14ac:dyDescent="0.2">
      <c r="V112" s="128"/>
      <c r="AB112" s="126"/>
      <c r="AC112" s="128"/>
      <c r="AD112" s="128"/>
    </row>
    <row r="113" spans="28:30" ht="15.75" customHeight="1" x14ac:dyDescent="0.2">
      <c r="AB113" s="126"/>
      <c r="AC113" s="128"/>
      <c r="AD113" s="128"/>
    </row>
    <row r="114" spans="28:30" ht="15.75" customHeight="1" x14ac:dyDescent="0.2">
      <c r="AB114" s="128"/>
      <c r="AC114" s="128"/>
      <c r="AD114" s="128"/>
    </row>
    <row r="115" spans="28:30" ht="15.75" customHeight="1" x14ac:dyDescent="0.2">
      <c r="AB115" s="128"/>
      <c r="AC115" s="128"/>
      <c r="AD115" s="128"/>
    </row>
    <row r="116" spans="28:30" ht="15.75" customHeight="1" x14ac:dyDescent="0.2">
      <c r="AB116" s="128"/>
      <c r="AC116" s="128"/>
      <c r="AD116" s="128"/>
    </row>
    <row r="117" spans="28:30" ht="15.75" customHeight="1" x14ac:dyDescent="0.2">
      <c r="AB117" s="128"/>
      <c r="AC117" s="128"/>
      <c r="AD117" s="128"/>
    </row>
    <row r="118" spans="28:30" ht="15.75" customHeight="1" x14ac:dyDescent="0.2">
      <c r="AB118" s="128"/>
      <c r="AC118" s="128"/>
      <c r="AD118" s="128"/>
    </row>
    <row r="119" spans="28:30" ht="15.75" customHeight="1" x14ac:dyDescent="0.2">
      <c r="AB119" s="128"/>
      <c r="AC119" s="128"/>
      <c r="AD119" s="128"/>
    </row>
    <row r="120" spans="28:30" ht="15.75" customHeight="1" x14ac:dyDescent="0.2">
      <c r="AB120" s="128"/>
      <c r="AC120" s="128"/>
      <c r="AD120" s="128"/>
    </row>
    <row r="121" spans="28:30" ht="15.75" customHeight="1" x14ac:dyDescent="0.2">
      <c r="AB121" s="128"/>
      <c r="AC121" s="128"/>
      <c r="AD121" s="128"/>
    </row>
    <row r="122" spans="28:30" ht="15.75" customHeight="1" x14ac:dyDescent="0.2"/>
    <row r="123" spans="28:30" ht="15.75" customHeight="1" x14ac:dyDescent="0.2"/>
    <row r="124" spans="28:30" ht="15.75" customHeight="1" x14ac:dyDescent="0.2"/>
    <row r="125" spans="28:30" ht="15.75" customHeight="1" x14ac:dyDescent="0.2"/>
    <row r="126" spans="28:30" ht="15.75" customHeight="1" x14ac:dyDescent="0.2"/>
    <row r="127" spans="28:30" ht="15.75" customHeight="1" x14ac:dyDescent="0.2"/>
    <row r="128" spans="28:30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8">
    <mergeCell ref="AF40:AL41"/>
    <mergeCell ref="V2:Y3"/>
    <mergeCell ref="H2:N3"/>
    <mergeCell ref="Q2:S3"/>
    <mergeCell ref="K40:R41"/>
    <mergeCell ref="O13:P13"/>
    <mergeCell ref="AD2:AG3"/>
    <mergeCell ref="Y40:AB41"/>
  </mergeCells>
  <conditionalFormatting sqref="A1">
    <cfRule type="duplicateValues" dxfId="20" priority="28"/>
  </conditionalFormatting>
  <conditionalFormatting sqref="A1:A6 A36:A1048576 A8:A32">
    <cfRule type="duplicateValues" dxfId="19" priority="27"/>
  </conditionalFormatting>
  <conditionalFormatting sqref="I43">
    <cfRule type="duplicateValues" dxfId="18" priority="26"/>
  </conditionalFormatting>
  <conditionalFormatting sqref="I43:I53 I55:I57 I60:I77">
    <cfRule type="duplicateValues" dxfId="17" priority="25"/>
  </conditionalFormatting>
  <conditionalFormatting sqref="Q43">
    <cfRule type="duplicateValues" dxfId="16" priority="24"/>
  </conditionalFormatting>
  <conditionalFormatting sqref="Q43:Q74">
    <cfRule type="duplicateValues" dxfId="15" priority="23"/>
  </conditionalFormatting>
  <conditionalFormatting sqref="A7:F7">
    <cfRule type="duplicateValues" dxfId="14" priority="21"/>
  </conditionalFormatting>
  <conditionalFormatting sqref="AH45:AH75">
    <cfRule type="colorScale" priority="2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K76:AK78">
    <cfRule type="containsText" dxfId="13" priority="16" operator="containsText" text="Electronics">
      <formula>NOT(ISERROR(SEARCH("Electronics",AK76)))</formula>
    </cfRule>
    <cfRule type="containsText" dxfId="12" priority="17" operator="containsText" text="Electronics">
      <formula>NOT(ISERROR(SEARCH("Electronics",AK76)))</formula>
    </cfRule>
  </conditionalFormatting>
  <conditionalFormatting sqref="AK45:AK75">
    <cfRule type="containsText" dxfId="11" priority="15" operator="containsText" text="Electronics">
      <formula>NOT(ISERROR(SEARCH("Electronics",AK45)))</formula>
    </cfRule>
  </conditionalFormatting>
  <conditionalFormatting sqref="X44:X74">
    <cfRule type="duplicateValues" dxfId="9" priority="12"/>
  </conditionalFormatting>
  <conditionalFormatting sqref="AG6:AG36">
    <cfRule type="duplicateValues" dxfId="8" priority="9"/>
  </conditionalFormatting>
  <conditionalFormatting sqref="AJ5:AJ9 AJ11:AJ35">
    <cfRule type="duplicateValues" dxfId="7" priority="8"/>
  </conditionalFormatting>
  <conditionalFormatting sqref="AJ10">
    <cfRule type="duplicateValues" dxfId="6" priority="7"/>
  </conditionalFormatting>
  <conditionalFormatting sqref="AL5:AL9 AL11:AL35">
    <cfRule type="duplicateValues" dxfId="5" priority="6"/>
  </conditionalFormatting>
  <conditionalFormatting sqref="AL10">
    <cfRule type="duplicateValues" dxfId="4" priority="5"/>
  </conditionalFormatting>
  <conditionalFormatting sqref="V11">
    <cfRule type="duplicateValues" dxfId="3" priority="4"/>
  </conditionalFormatting>
  <conditionalFormatting sqref="AB83:AB113">
    <cfRule type="duplicateValues" dxfId="2" priority="3"/>
  </conditionalFormatting>
  <conditionalFormatting sqref="V80:V110">
    <cfRule type="duplicateValues" dxfId="1" priority="2"/>
  </conditionalFormatting>
  <conditionalFormatting sqref="Y44:Y74">
    <cfRule type="duplicateValues" dxfId="0" priority="1"/>
  </conditionalFormatting>
  <pageMargins left="0.7" right="0.7" top="0.75" bottom="0.75" header="0.3" footer="0.3"/>
  <pageSetup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2025-12-13T11:23:40Z</dcterms:modified>
</cp:coreProperties>
</file>